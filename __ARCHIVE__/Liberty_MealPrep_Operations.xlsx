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nd\Desktop\LMP\"/>
    </mc:Choice>
  </mc:AlternateContent>
  <bookViews>
    <workbookView xWindow="240" yWindow="15" windowWidth="16095" windowHeight="9660"/>
  </bookViews>
  <sheets>
    <sheet name="Nutrition_Summary" sheetId="1" r:id="rId1"/>
    <sheet name="Recipes" sheetId="2" r:id="rId2"/>
    <sheet name="Ingredient_Costs" sheetId="3" r:id="rId3"/>
    <sheet name="Meal_Cost_Summary" sheetId="4" r:id="rId4"/>
    <sheet name="Label_Text" sheetId="5" r:id="rId5"/>
    <sheet name="Weekly_Production" sheetId="6" r:id="rId6"/>
  </sheets>
  <calcPr calcId="152511"/>
</workbook>
</file>

<file path=xl/calcChain.xml><?xml version="1.0" encoding="utf-8"?>
<calcChain xmlns="http://schemas.openxmlformats.org/spreadsheetml/2006/main">
  <c r="B6" i="4" l="1"/>
  <c r="D6" i="4" s="1"/>
  <c r="C48" i="3"/>
  <c r="C47" i="3"/>
  <c r="D35" i="2" s="1"/>
  <c r="C46" i="3"/>
  <c r="C45" i="3"/>
  <c r="C44" i="3"/>
  <c r="C43" i="3"/>
  <c r="D5" i="2" s="1"/>
  <c r="C42" i="3"/>
  <c r="D17" i="2" s="1"/>
  <c r="C41" i="3"/>
  <c r="C40" i="3"/>
  <c r="C39" i="3"/>
  <c r="C38" i="3"/>
  <c r="C37" i="3"/>
  <c r="D53" i="2" s="1"/>
  <c r="C36" i="3"/>
  <c r="C35" i="3"/>
  <c r="D69" i="2" s="1"/>
  <c r="C34" i="3"/>
  <c r="C33" i="3"/>
  <c r="D81" i="2" s="1"/>
  <c r="C32" i="3"/>
  <c r="C31" i="3"/>
  <c r="D57" i="2" s="1"/>
  <c r="C30" i="3"/>
  <c r="C29" i="3"/>
  <c r="C28" i="3"/>
  <c r="C27" i="3"/>
  <c r="D82" i="2" s="1"/>
  <c r="C26" i="3"/>
  <c r="D54" i="2" s="1"/>
  <c r="C25" i="3"/>
  <c r="D61" i="2" s="1"/>
  <c r="C24" i="3"/>
  <c r="C23" i="3"/>
  <c r="C22" i="3"/>
  <c r="C21" i="3"/>
  <c r="D71" i="2" s="1"/>
  <c r="C20" i="3"/>
  <c r="C19" i="3"/>
  <c r="D51" i="2" s="1"/>
  <c r="C18" i="3"/>
  <c r="C17" i="3"/>
  <c r="C16" i="3"/>
  <c r="C15" i="3"/>
  <c r="C14" i="3"/>
  <c r="C13" i="3"/>
  <c r="C12" i="3"/>
  <c r="C11" i="3"/>
  <c r="C10" i="3"/>
  <c r="D22" i="2" s="1"/>
  <c r="B2" i="4" s="1"/>
  <c r="D2" i="4" s="1"/>
  <c r="C9" i="3"/>
  <c r="D77" i="2" s="1"/>
  <c r="C8" i="3"/>
  <c r="C7" i="3"/>
  <c r="C6" i="3"/>
  <c r="C5" i="3"/>
  <c r="D7" i="2" s="1"/>
  <c r="C4" i="3"/>
  <c r="C3" i="3"/>
  <c r="D9" i="2" s="1"/>
  <c r="C2" i="3"/>
  <c r="D80" i="2"/>
  <c r="D79" i="2"/>
  <c r="D78" i="2"/>
  <c r="D76" i="2"/>
  <c r="D75" i="2"/>
  <c r="D74" i="2"/>
  <c r="B8" i="4" s="1"/>
  <c r="D8" i="4" s="1"/>
  <c r="D73" i="2"/>
  <c r="D72" i="2"/>
  <c r="D70" i="2"/>
  <c r="D68" i="2"/>
  <c r="D67" i="2"/>
  <c r="D66" i="2"/>
  <c r="D65" i="2"/>
  <c r="D64" i="2"/>
  <c r="D63" i="2"/>
  <c r="D60" i="2"/>
  <c r="D59" i="2"/>
  <c r="D58" i="2"/>
  <c r="D56" i="2"/>
  <c r="D52" i="2"/>
  <c r="D50" i="2"/>
  <c r="D49" i="2"/>
  <c r="D48" i="2"/>
  <c r="D47" i="2"/>
  <c r="B16" i="4" s="1"/>
  <c r="D16" i="4" s="1"/>
  <c r="D46" i="2"/>
  <c r="D43" i="2"/>
  <c r="D42" i="2"/>
  <c r="D41" i="2"/>
  <c r="D39" i="2"/>
  <c r="D38" i="2"/>
  <c r="D37" i="2"/>
  <c r="D36" i="2"/>
  <c r="D34" i="2"/>
  <c r="D33" i="2"/>
  <c r="D32" i="2"/>
  <c r="D29" i="2"/>
  <c r="D28" i="2"/>
  <c r="D27" i="2"/>
  <c r="D26" i="2"/>
  <c r="B17" i="4" s="1"/>
  <c r="D17" i="4" s="1"/>
  <c r="D25" i="2"/>
  <c r="D24" i="2"/>
  <c r="D23" i="2"/>
  <c r="D20" i="2"/>
  <c r="D19" i="2"/>
  <c r="D18" i="2"/>
  <c r="D16" i="2"/>
  <c r="D14" i="2"/>
  <c r="D13" i="2"/>
  <c r="D12" i="2"/>
  <c r="D11" i="2"/>
  <c r="B4" i="4" s="1"/>
  <c r="D4" i="4" s="1"/>
  <c r="D10" i="2"/>
  <c r="D8" i="2"/>
  <c r="D6" i="2"/>
  <c r="D4" i="2"/>
  <c r="D2" i="2"/>
  <c r="B5" i="4" l="1"/>
  <c r="D5" i="4" s="1"/>
  <c r="B21" i="4"/>
  <c r="D21" i="4" s="1"/>
  <c r="B20" i="4"/>
  <c r="D20" i="4" s="1"/>
  <c r="B3" i="4"/>
  <c r="D3" i="4" s="1"/>
  <c r="B15" i="4"/>
  <c r="D15" i="4" s="1"/>
  <c r="B19" i="4"/>
  <c r="D19" i="4" s="1"/>
  <c r="D45" i="2"/>
  <c r="D30" i="2"/>
  <c r="D62" i="2"/>
  <c r="B9" i="4" s="1"/>
  <c r="D9" i="4" s="1"/>
  <c r="D15" i="2"/>
  <c r="B11" i="4" s="1"/>
  <c r="D11" i="4" s="1"/>
  <c r="D31" i="2"/>
  <c r="D44" i="2"/>
  <c r="B14" i="4" s="1"/>
  <c r="D14" i="4" s="1"/>
  <c r="D3" i="2"/>
  <c r="B13" i="4" s="1"/>
  <c r="D13" i="4" s="1"/>
  <c r="D21" i="2"/>
  <c r="B18" i="4" s="1"/>
  <c r="D18" i="4" s="1"/>
  <c r="D55" i="2"/>
  <c r="B10" i="4" s="1"/>
  <c r="D10" i="4" s="1"/>
  <c r="D40" i="2"/>
  <c r="B7" i="4" s="1"/>
  <c r="D7" i="4" s="1"/>
  <c r="B12" i="4" l="1"/>
  <c r="D12" i="4" s="1"/>
</calcChain>
</file>

<file path=xl/sharedStrings.xml><?xml version="1.0" encoding="utf-8"?>
<sst xmlns="http://schemas.openxmlformats.org/spreadsheetml/2006/main" count="394" uniqueCount="141">
  <si>
    <t>Meal</t>
  </si>
  <si>
    <t>Calories</t>
  </si>
  <si>
    <t>Protein_g</t>
  </si>
  <si>
    <t>Carbs_g</t>
  </si>
  <si>
    <t>Fat_g</t>
  </si>
  <si>
    <t>Grilled chicken rice bowl</t>
  </si>
  <si>
    <t>Turkey taco bowl</t>
  </si>
  <si>
    <t>Beef and potato hash</t>
  </si>
  <si>
    <t>Chicken pesto pasta Banza</t>
  </si>
  <si>
    <t>Turkey meatballs marinara Banza</t>
  </si>
  <si>
    <t>BBQ chicken mash</t>
  </si>
  <si>
    <t>Turkey chili cup</t>
  </si>
  <si>
    <t>Greek chicken bowl</t>
  </si>
  <si>
    <t>Beef enchilada skillet</t>
  </si>
  <si>
    <t>Chicken alfredo light Banza</t>
  </si>
  <si>
    <t>Lemon herb chicken</t>
  </si>
  <si>
    <t>Turkey breakfast scramble</t>
  </si>
  <si>
    <t>Beef burrito bowl</t>
  </si>
  <si>
    <t>Chicken parmesan light Banza</t>
  </si>
  <si>
    <t>Turkey bolognese Banza</t>
  </si>
  <si>
    <t>Chicken fajita bowl</t>
  </si>
  <si>
    <t>Turkey shepherd pie</t>
  </si>
  <si>
    <t>Beef Korean bowl</t>
  </si>
  <si>
    <t>Chicken buffalo ranch</t>
  </si>
  <si>
    <t>Turkey primavera Banza</t>
  </si>
  <si>
    <t>Ingredient</t>
  </si>
  <si>
    <t>Oz_per_meal</t>
  </si>
  <si>
    <t>Chicken breast</t>
  </si>
  <si>
    <t>Jasmine rice</t>
  </si>
  <si>
    <t>Broccoli</t>
  </si>
  <si>
    <t>Teriyaki sauce low sugar</t>
  </si>
  <si>
    <t>Ground turkey lean</t>
  </si>
  <si>
    <t>Brown rice</t>
  </si>
  <si>
    <t>Corn</t>
  </si>
  <si>
    <t>Black beans</t>
  </si>
  <si>
    <t>Salsa verde</t>
  </si>
  <si>
    <t>Ground beef extra lean</t>
  </si>
  <si>
    <t>Diced potatoes</t>
  </si>
  <si>
    <t>Peppers</t>
  </si>
  <si>
    <t>Onions</t>
  </si>
  <si>
    <t>Banza pasta shells cooked</t>
  </si>
  <si>
    <t>Spinach</t>
  </si>
  <si>
    <t>Light basil pesto</t>
  </si>
  <si>
    <t>Turkey meatballs lean</t>
  </si>
  <si>
    <t>Low sugar marinara</t>
  </si>
  <si>
    <t>Mashed potatoes</t>
  </si>
  <si>
    <t>Green beans</t>
  </si>
  <si>
    <t>Low sugar BBQ sauce</t>
  </si>
  <si>
    <t>Kidney beans</t>
  </si>
  <si>
    <t>Tomatoes canned</t>
  </si>
  <si>
    <t>Cucumber</t>
  </si>
  <si>
    <t>Tomato</t>
  </si>
  <si>
    <t>Feta cheese light</t>
  </si>
  <si>
    <t>Tzatziki light</t>
  </si>
  <si>
    <t>Corn tortilla</t>
  </si>
  <si>
    <t>Enchilada sauce</t>
  </si>
  <si>
    <t>Light alfredo sauce</t>
  </si>
  <si>
    <t>Zucchini</t>
  </si>
  <si>
    <t>Egg whites</t>
  </si>
  <si>
    <t>Pico de gallo</t>
  </si>
  <si>
    <t>Light cheese</t>
  </si>
  <si>
    <t>Rice flour crumbs</t>
  </si>
  <si>
    <t>Light mozzarella</t>
  </si>
  <si>
    <t>Light bolognese sauce</t>
  </si>
  <si>
    <t>Rice cooked</t>
  </si>
  <si>
    <t>Salsa</t>
  </si>
  <si>
    <t>Peas and carrots</t>
  </si>
  <si>
    <t>Cabbage mix</t>
  </si>
  <si>
    <t>Light gochujang sauce</t>
  </si>
  <si>
    <t>Carrots</t>
  </si>
  <si>
    <t>Celery</t>
  </si>
  <si>
    <t>Buffalo ranch sauce</t>
  </si>
  <si>
    <t>Mixed veggies</t>
  </si>
  <si>
    <t>Light garlic cream sauce</t>
  </si>
  <si>
    <t>Cost_per_lb</t>
  </si>
  <si>
    <t>Cost_per_oz</t>
  </si>
  <si>
    <t>Cost_per_meal</t>
  </si>
  <si>
    <t>Weekly_volume</t>
  </si>
  <si>
    <t>Weekly_meal_cost</t>
  </si>
  <si>
    <t>Serving_size</t>
  </si>
  <si>
    <t>Label_text</t>
  </si>
  <si>
    <t>16 oz</t>
  </si>
  <si>
    <t>15 oz</t>
  </si>
  <si>
    <t>Serving size 1 container (16 oz). Amount per serving Calories 500. Protein 45g. Total Carbohydrate 55g. Total Fat 8g.</t>
  </si>
  <si>
    <t>Serving size 1 container (16 oz). Amount per serving Calories 520. Protein 42g. Total Carbohydrate 58g. Total Fat 9g.</t>
  </si>
  <si>
    <t>Serving size 1 container (16 oz). Amount per serving Calories 530. Protein 40g. Total Carbohydrate 48g. Total Fat 14g.</t>
  </si>
  <si>
    <t>Serving size 1 container (16 oz). Amount per serving Calories 560. Protein 45g. Total Carbohydrate 45g. Total Fat 18g.</t>
  </si>
  <si>
    <t>Serving size 1 container (16 oz). Amount per serving Calories 520. Protein 46g. Total Carbohydrate 50g. Total Fat 10g.</t>
  </si>
  <si>
    <t>Serving size 1 container (16 oz). Amount per serving Calories 520. Protein 44g. Total Carbohydrate 52g. Total Fat 9g.</t>
  </si>
  <si>
    <t>Serving size 1 container (15 oz). Amount per serving Calories 460. Protein 38g. Total Carbohydrate 42g. Total Fat 11g.</t>
  </si>
  <si>
    <t>Serving size 1 container (16 oz). Amount per serving Calories 520. Protein 45g. Total Carbohydrate 55g. Total Fat 12g.</t>
  </si>
  <si>
    <t>Serving size 1 container (15 oz). Amount per serving Calories 500. Protein 38g. Total Carbohydrate 40g. Total Fat 18g.</t>
  </si>
  <si>
    <t>Serving size 1 container (16 oz). Amount per serving Calories 490. Protein 45g. Total Carbohydrate 52g. Total Fat 7g.</t>
  </si>
  <si>
    <t>Serving size 1 container (16 oz). Amount per serving Calories 480. Protein 40g. Total Carbohydrate 45g. Total Fat 10g.</t>
  </si>
  <si>
    <t>Serving size 1 container (16 oz). Amount per serving Calories 520. Protein 42g. Total Carbohydrate 55g. Total Fat 13g.</t>
  </si>
  <si>
    <t>Serving size 1 container (15 oz). Amount per serving Calories 480. Protein 44g. Total Carbohydrate 26g. Total Fat 16g.</t>
  </si>
  <si>
    <t>Serving size 1 container (16 oz). Amount per serving Calories 520. Protein 45g. Total Carbohydrate 55g. Total Fat 9g.</t>
  </si>
  <si>
    <t>Serving size 1 container (16 oz). Amount per serving Calories 520. Protein 40g. Total Carbohydrate 55g. Total Fat 11g.</t>
  </si>
  <si>
    <t>Serving size 1 container (16 oz). Amount per serving Calories 540. Protein 40g. Total Carbohydrate 55g. Total Fat 14g.</t>
  </si>
  <si>
    <t>Serving size 1 container (16 oz). Amount per serving Calories 540. Protein 44g. Total Carbohydrate 55g. Total Fat 14g.</t>
  </si>
  <si>
    <t>Cost_per_row</t>
  </si>
  <si>
    <t>Grilled Chicken Rice Bowl</t>
  </si>
  <si>
    <t>Juicy grilled chicken over fluffy jasmine rice with tender broccoli, finished with a light teriyaki glaze that hits savory without turning sweet. Simple, clean, and reliable fuel that never gets old.</t>
  </si>
  <si>
    <t>Turkey Taco Bowl</t>
  </si>
  <si>
    <t>Lean seasoned turkey layered over hearty brown rice with sweet corn, black beans, and salsa verde. All the taco flavor, none of the crash. Bold, filling, and surprisingly light.</t>
  </si>
  <si>
    <t>Beef and Potato Hash</t>
  </si>
  <si>
    <t>Extra lean beef sautéed with golden potatoes, peppers, and onions. Comfort food energy with a clean conscience. This one eats like a weekend breakfast and works like weekday fuel.</t>
  </si>
  <si>
    <t>Chicken Pesto Pasta with Banza</t>
  </si>
  <si>
    <t>Grilled chicken tossed with Banza chickpea shells and spinach, coated lightly in basil pesto. Rich flavor, serious protein, and pasta that actually does something for you.</t>
  </si>
  <si>
    <t>Turkey Meatballs Marinara with Banza</t>
  </si>
  <si>
    <t>Tender turkey meatballs over Banza shells with slow simmered marinara. Classic Italian comfort rebuilt for performance instead of regret.</t>
  </si>
  <si>
    <t>BBQ Chicken Mash</t>
  </si>
  <si>
    <t>Smoky barbecue chicken paired with creamy mashed potatoes and crisp green beans. Backyard flavor, gym friendly macros. Feels indulgent. Behaves responsibly.</t>
  </si>
  <si>
    <t>Turkey Chili Cup</t>
  </si>
  <si>
    <t>Hearty lean turkey chili with beans, tomato, and warm spices. Thick, satisfying, and perfect when you want something that feels like it hugs back.</t>
  </si>
  <si>
    <t>Greek Chicken Bowl</t>
  </si>
  <si>
    <t>Grilled chicken over jasmine rice with cucumber, tomato, feta, and cool tzatziki. Fresh, bright, and balanced. Like a Mediterranean vacation that still fits your goals.</t>
  </si>
  <si>
    <t>Beef Enchilada Skillet</t>
  </si>
  <si>
    <t>Seasoned lean beef with peppers, enchilada sauce, and a warm corn tortilla. Deep flavor, no heaviness. All the comfort of enchiladas without the nap.</t>
  </si>
  <si>
    <t>Chicken Alfredo Light with Banza</t>
  </si>
  <si>
    <t>Creamy alfredo style sauce folded into Banza shells with grilled chicken and spinach. Comfort food rewritten so you can eat it on a Tuesday and still feel proud.</t>
  </si>
  <si>
    <t>Lemon Herb Chicken</t>
  </si>
  <si>
    <t>Zesty lemon herb chicken with jasmine rice and roasted zucchini. Clean, bright, and refreshing. The kind of meal that resets your appetite instead of weighing it down.</t>
  </si>
  <si>
    <t>Turkey Breakfast Scramble</t>
  </si>
  <si>
    <t>Lean turkey, egg whites, potatoes, and spinach cooked into a hearty scramble. Breakfast energy anytime of day. High protein, deeply satisfying, zero excuses.</t>
  </si>
  <si>
    <t>Beef Burrito Bowl</t>
  </si>
  <si>
    <t>Extra lean beef over rice with fresh pico and a light sprinkle of cheese. Simple, bold, and endlessly dependable. The kind of bowl you crave after a long day.</t>
  </si>
  <si>
    <t>Chicken Parmesan Light</t>
  </si>
  <si>
    <t>Breaded baked chicken topped with marinara and melted mozzarella. All the comfort of chicken parm without the heaviness. Familiar flavors that still respect your goals.</t>
  </si>
  <si>
    <t>Turkey Bolognese with Banza</t>
  </si>
  <si>
    <t>Rich turkey bolognese sauce over Banza shells. Deep, savory, and slow cooked flavor with macros that make sense. This one eats like a cheat meal and isn’t.</t>
  </si>
  <si>
    <t>Chicken Fajita Bowl</t>
  </si>
  <si>
    <t>Seasoned chicken with sautéed peppers and onions over rice, finished with salsa. Sizzling flavor, clean ingredients, and just enough heat to keep things interesting.</t>
  </si>
  <si>
    <t>Turkey Shepherd Pie</t>
  </si>
  <si>
    <t>Savory turkey topped with creamy mashed potatoes and vegetables. Classic comfort reengineered. Feels like home cooking, fuels like a performance meal.</t>
  </si>
  <si>
    <t>Beef Korean Bowl</t>
  </si>
  <si>
    <t>Lean beef over jasmine rice with cabbage and a light gochujang sauce. Sweet heat, savory depth, and serious satisfaction without overload.</t>
  </si>
  <si>
    <t>Chicken Buffalo Ranch</t>
  </si>
  <si>
    <t>Buffalo seasoned chicken with rice, carrots, celery, and a light ranch drizzle. Bold, tangy, and addictive in the best way. Heat without regret.</t>
  </si>
  <si>
    <t>Turkey Primavera with Banza</t>
  </si>
  <si>
    <t>Lean turkey and colorful vegetables tossed with Banza shells in a light garlic cream sauce. Fresh, creamy, and balanced. Proof that healthy does not mean boring.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</si>
</sst>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topLeftCell="A56" workbookViewId="0">
      <selection activeCell="A88" sqref="A88"/>
    </sheetView>
  </sheetViews>
  <sheetFormatPr defaultRowHeight="15" x14ac:dyDescent="0.25"/>
  <cols>
    <col min="1" max="1" width="30.7109375" bestFit="1" customWidth="1"/>
    <col min="2" max="2" width="8.140625" bestFit="1" customWidth="1"/>
    <col min="3" max="3" width="9.5703125" bestFit="1" customWidth="1"/>
    <col min="4" max="4" width="7.85546875" bestFit="1" customWidth="1"/>
    <col min="5" max="5" width="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500</v>
      </c>
      <c r="C2">
        <v>45</v>
      </c>
      <c r="D2">
        <v>55</v>
      </c>
      <c r="E2">
        <v>8</v>
      </c>
    </row>
    <row r="3" spans="1:5" x14ac:dyDescent="0.25">
      <c r="A3" t="s">
        <v>6</v>
      </c>
      <c r="B3">
        <v>520</v>
      </c>
      <c r="C3">
        <v>42</v>
      </c>
      <c r="D3">
        <v>58</v>
      </c>
      <c r="E3">
        <v>9</v>
      </c>
    </row>
    <row r="4" spans="1:5" x14ac:dyDescent="0.25">
      <c r="A4" t="s">
        <v>7</v>
      </c>
      <c r="B4">
        <v>530</v>
      </c>
      <c r="C4">
        <v>40</v>
      </c>
      <c r="D4">
        <v>48</v>
      </c>
      <c r="E4">
        <v>14</v>
      </c>
    </row>
    <row r="5" spans="1:5" x14ac:dyDescent="0.25">
      <c r="A5" t="s">
        <v>8</v>
      </c>
      <c r="B5">
        <v>560</v>
      </c>
      <c r="C5">
        <v>45</v>
      </c>
      <c r="D5">
        <v>45</v>
      </c>
      <c r="E5">
        <v>18</v>
      </c>
    </row>
    <row r="6" spans="1:5" x14ac:dyDescent="0.25">
      <c r="A6" t="s">
        <v>9</v>
      </c>
      <c r="B6">
        <v>520</v>
      </c>
      <c r="C6">
        <v>46</v>
      </c>
      <c r="D6">
        <v>50</v>
      </c>
      <c r="E6">
        <v>10</v>
      </c>
    </row>
    <row r="7" spans="1:5" x14ac:dyDescent="0.25">
      <c r="A7" t="s">
        <v>10</v>
      </c>
      <c r="B7">
        <v>520</v>
      </c>
      <c r="C7">
        <v>44</v>
      </c>
      <c r="D7">
        <v>52</v>
      </c>
      <c r="E7">
        <v>9</v>
      </c>
    </row>
    <row r="8" spans="1:5" x14ac:dyDescent="0.25">
      <c r="A8" t="s">
        <v>11</v>
      </c>
      <c r="B8">
        <v>460</v>
      </c>
      <c r="C8">
        <v>38</v>
      </c>
      <c r="D8">
        <v>42</v>
      </c>
      <c r="E8">
        <v>11</v>
      </c>
    </row>
    <row r="9" spans="1:5" x14ac:dyDescent="0.25">
      <c r="A9" t="s">
        <v>12</v>
      </c>
      <c r="B9">
        <v>520</v>
      </c>
      <c r="C9">
        <v>45</v>
      </c>
      <c r="D9">
        <v>55</v>
      </c>
      <c r="E9">
        <v>12</v>
      </c>
    </row>
    <row r="10" spans="1:5" x14ac:dyDescent="0.25">
      <c r="A10" t="s">
        <v>13</v>
      </c>
      <c r="B10">
        <v>500</v>
      </c>
      <c r="C10">
        <v>38</v>
      </c>
      <c r="D10">
        <v>40</v>
      </c>
      <c r="E10">
        <v>18</v>
      </c>
    </row>
    <row r="11" spans="1:5" x14ac:dyDescent="0.25">
      <c r="A11" t="s">
        <v>14</v>
      </c>
      <c r="B11">
        <v>560</v>
      </c>
      <c r="C11">
        <v>45</v>
      </c>
      <c r="D11">
        <v>45</v>
      </c>
      <c r="E11">
        <v>18</v>
      </c>
    </row>
    <row r="12" spans="1:5" x14ac:dyDescent="0.25">
      <c r="A12" t="s">
        <v>15</v>
      </c>
      <c r="B12">
        <v>490</v>
      </c>
      <c r="C12">
        <v>45</v>
      </c>
      <c r="D12">
        <v>52</v>
      </c>
      <c r="E12">
        <v>7</v>
      </c>
    </row>
    <row r="13" spans="1:5" x14ac:dyDescent="0.25">
      <c r="A13" t="s">
        <v>16</v>
      </c>
      <c r="B13">
        <v>480</v>
      </c>
      <c r="C13">
        <v>40</v>
      </c>
      <c r="D13">
        <v>45</v>
      </c>
      <c r="E13">
        <v>10</v>
      </c>
    </row>
    <row r="14" spans="1:5" x14ac:dyDescent="0.25">
      <c r="A14" t="s">
        <v>17</v>
      </c>
      <c r="B14">
        <v>520</v>
      </c>
      <c r="C14">
        <v>42</v>
      </c>
      <c r="D14">
        <v>55</v>
      </c>
      <c r="E14">
        <v>13</v>
      </c>
    </row>
    <row r="15" spans="1:5" x14ac:dyDescent="0.25">
      <c r="A15" t="s">
        <v>18</v>
      </c>
      <c r="B15">
        <v>480</v>
      </c>
      <c r="C15">
        <v>44</v>
      </c>
      <c r="D15">
        <v>26</v>
      </c>
      <c r="E15">
        <v>16</v>
      </c>
    </row>
    <row r="16" spans="1:5" x14ac:dyDescent="0.25">
      <c r="A16" t="s">
        <v>19</v>
      </c>
      <c r="B16">
        <v>560</v>
      </c>
      <c r="C16">
        <v>45</v>
      </c>
      <c r="D16">
        <v>45</v>
      </c>
      <c r="E16">
        <v>18</v>
      </c>
    </row>
    <row r="17" spans="1:5" x14ac:dyDescent="0.25">
      <c r="A17" t="s">
        <v>20</v>
      </c>
      <c r="B17">
        <v>520</v>
      </c>
      <c r="C17">
        <v>45</v>
      </c>
      <c r="D17">
        <v>55</v>
      </c>
      <c r="E17">
        <v>9</v>
      </c>
    </row>
    <row r="18" spans="1:5" x14ac:dyDescent="0.25">
      <c r="A18" t="s">
        <v>21</v>
      </c>
      <c r="B18">
        <v>520</v>
      </c>
      <c r="C18">
        <v>40</v>
      </c>
      <c r="D18">
        <v>55</v>
      </c>
      <c r="E18">
        <v>11</v>
      </c>
    </row>
    <row r="19" spans="1:5" x14ac:dyDescent="0.25">
      <c r="A19" t="s">
        <v>22</v>
      </c>
      <c r="B19">
        <v>540</v>
      </c>
      <c r="C19">
        <v>40</v>
      </c>
      <c r="D19">
        <v>55</v>
      </c>
      <c r="E19">
        <v>14</v>
      </c>
    </row>
    <row r="20" spans="1:5" x14ac:dyDescent="0.25">
      <c r="A20" t="s">
        <v>23</v>
      </c>
      <c r="B20">
        <v>540</v>
      </c>
      <c r="C20">
        <v>44</v>
      </c>
      <c r="D20">
        <v>55</v>
      </c>
      <c r="E20">
        <v>14</v>
      </c>
    </row>
    <row r="21" spans="1:5" x14ac:dyDescent="0.25">
      <c r="A21" t="s">
        <v>24</v>
      </c>
      <c r="B21">
        <v>560</v>
      </c>
      <c r="C21">
        <v>45</v>
      </c>
      <c r="D21">
        <v>45</v>
      </c>
      <c r="E21">
        <v>18</v>
      </c>
    </row>
    <row r="27" spans="1:5" x14ac:dyDescent="0.25">
      <c r="A27" s="2" t="s">
        <v>101</v>
      </c>
    </row>
    <row r="28" spans="1:5" x14ac:dyDescent="0.25">
      <c r="A28" t="s">
        <v>102</v>
      </c>
    </row>
    <row r="30" spans="1:5" x14ac:dyDescent="0.25">
      <c r="A30" s="2" t="s">
        <v>103</v>
      </c>
    </row>
    <row r="31" spans="1:5" x14ac:dyDescent="0.25">
      <c r="A31" t="s">
        <v>104</v>
      </c>
    </row>
    <row r="33" spans="1:1" x14ac:dyDescent="0.25">
      <c r="A33" s="2" t="s">
        <v>105</v>
      </c>
    </row>
    <row r="34" spans="1:1" x14ac:dyDescent="0.25">
      <c r="A34" t="s">
        <v>106</v>
      </c>
    </row>
    <row r="36" spans="1:1" x14ac:dyDescent="0.25">
      <c r="A36" s="2" t="s">
        <v>107</v>
      </c>
    </row>
    <row r="37" spans="1:1" x14ac:dyDescent="0.25">
      <c r="A37" t="s">
        <v>108</v>
      </c>
    </row>
    <row r="39" spans="1:1" x14ac:dyDescent="0.25">
      <c r="A39" s="2" t="s">
        <v>109</v>
      </c>
    </row>
    <row r="40" spans="1:1" x14ac:dyDescent="0.25">
      <c r="A40" t="s">
        <v>110</v>
      </c>
    </row>
    <row r="42" spans="1:1" x14ac:dyDescent="0.25">
      <c r="A42" s="2" t="s">
        <v>111</v>
      </c>
    </row>
    <row r="43" spans="1:1" x14ac:dyDescent="0.25">
      <c r="A43" t="s">
        <v>112</v>
      </c>
    </row>
    <row r="45" spans="1:1" x14ac:dyDescent="0.25">
      <c r="A45" s="2" t="s">
        <v>113</v>
      </c>
    </row>
    <row r="46" spans="1:1" x14ac:dyDescent="0.25">
      <c r="A46" t="s">
        <v>114</v>
      </c>
    </row>
    <row r="48" spans="1:1" x14ac:dyDescent="0.25">
      <c r="A48" s="2" t="s">
        <v>115</v>
      </c>
    </row>
    <row r="49" spans="1:1" x14ac:dyDescent="0.25">
      <c r="A49" t="s">
        <v>116</v>
      </c>
    </row>
    <row r="51" spans="1:1" x14ac:dyDescent="0.25">
      <c r="A51" s="2" t="s">
        <v>117</v>
      </c>
    </row>
    <row r="52" spans="1:1" x14ac:dyDescent="0.25">
      <c r="A52" t="s">
        <v>118</v>
      </c>
    </row>
    <row r="54" spans="1:1" x14ac:dyDescent="0.25">
      <c r="A54" s="2" t="s">
        <v>119</v>
      </c>
    </row>
    <row r="55" spans="1:1" x14ac:dyDescent="0.25">
      <c r="A55" t="s">
        <v>120</v>
      </c>
    </row>
    <row r="57" spans="1:1" x14ac:dyDescent="0.25">
      <c r="A57" s="2" t="s">
        <v>121</v>
      </c>
    </row>
    <row r="58" spans="1:1" x14ac:dyDescent="0.25">
      <c r="A58" t="s">
        <v>122</v>
      </c>
    </row>
    <row r="60" spans="1:1" x14ac:dyDescent="0.25">
      <c r="A60" s="2" t="s">
        <v>123</v>
      </c>
    </row>
    <row r="61" spans="1:1" x14ac:dyDescent="0.25">
      <c r="A61" t="s">
        <v>124</v>
      </c>
    </row>
    <row r="63" spans="1:1" x14ac:dyDescent="0.25">
      <c r="A63" s="2" t="s">
        <v>125</v>
      </c>
    </row>
    <row r="64" spans="1:1" x14ac:dyDescent="0.25">
      <c r="A64" t="s">
        <v>126</v>
      </c>
    </row>
    <row r="66" spans="1:1" x14ac:dyDescent="0.25">
      <c r="A66" s="2" t="s">
        <v>127</v>
      </c>
    </row>
    <row r="67" spans="1:1" x14ac:dyDescent="0.25">
      <c r="A67" t="s">
        <v>128</v>
      </c>
    </row>
    <row r="69" spans="1:1" x14ac:dyDescent="0.25">
      <c r="A69" s="2" t="s">
        <v>129</v>
      </c>
    </row>
    <row r="70" spans="1:1" x14ac:dyDescent="0.25">
      <c r="A70" t="s">
        <v>130</v>
      </c>
    </row>
    <row r="72" spans="1:1" x14ac:dyDescent="0.25">
      <c r="A72" s="2" t="s">
        <v>131</v>
      </c>
    </row>
    <row r="73" spans="1:1" x14ac:dyDescent="0.25">
      <c r="A73" t="s">
        <v>132</v>
      </c>
    </row>
    <row r="75" spans="1:1" x14ac:dyDescent="0.25">
      <c r="A75" s="2" t="s">
        <v>133</v>
      </c>
    </row>
    <row r="76" spans="1:1" x14ac:dyDescent="0.25">
      <c r="A76" t="s">
        <v>134</v>
      </c>
    </row>
    <row r="78" spans="1:1" x14ac:dyDescent="0.25">
      <c r="A78" s="2" t="s">
        <v>135</v>
      </c>
    </row>
    <row r="79" spans="1:1" x14ac:dyDescent="0.25">
      <c r="A79" t="s">
        <v>136</v>
      </c>
    </row>
    <row r="81" spans="1:1" x14ac:dyDescent="0.25">
      <c r="A81" s="2" t="s">
        <v>137</v>
      </c>
    </row>
    <row r="82" spans="1:1" x14ac:dyDescent="0.25">
      <c r="A82" t="s">
        <v>138</v>
      </c>
    </row>
    <row r="84" spans="1:1" x14ac:dyDescent="0.25">
      <c r="A84" s="2" t="s">
        <v>139</v>
      </c>
    </row>
    <row r="85" spans="1:1" x14ac:dyDescent="0.25">
      <c r="A85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25</v>
      </c>
      <c r="C1" s="1" t="s">
        <v>26</v>
      </c>
      <c r="D1" t="s">
        <v>100</v>
      </c>
    </row>
    <row r="2" spans="1:4" x14ac:dyDescent="0.25">
      <c r="A2" t="s">
        <v>5</v>
      </c>
      <c r="B2" t="s">
        <v>27</v>
      </c>
      <c r="C2">
        <v>4.9000000000000004</v>
      </c>
      <c r="D2">
        <f>IFERROR(VLOOKUP(B2,Ingredient_Costs!$A$2:$C$200,3,FALSE)*C2,0)</f>
        <v>0</v>
      </c>
    </row>
    <row r="3" spans="1:4" x14ac:dyDescent="0.25">
      <c r="A3" t="s">
        <v>5</v>
      </c>
      <c r="B3" t="s">
        <v>28</v>
      </c>
      <c r="C3">
        <v>5.6</v>
      </c>
      <c r="D3">
        <f>IFERROR(VLOOKUP(B3,Ingredient_Costs!$A$2:$C$200,3,FALSE)*C3,0)</f>
        <v>0</v>
      </c>
    </row>
    <row r="4" spans="1:4" x14ac:dyDescent="0.25">
      <c r="A4" t="s">
        <v>5</v>
      </c>
      <c r="B4" t="s">
        <v>29</v>
      </c>
      <c r="C4">
        <v>3.5</v>
      </c>
      <c r="D4">
        <f>IFERROR(VLOOKUP(B4,Ingredient_Costs!$A$2:$C$200,3,FALSE)*C4,0)</f>
        <v>0</v>
      </c>
    </row>
    <row r="5" spans="1:4" x14ac:dyDescent="0.25">
      <c r="A5" t="s">
        <v>5</v>
      </c>
      <c r="B5" t="s">
        <v>30</v>
      </c>
      <c r="C5">
        <v>1.1000000000000001</v>
      </c>
      <c r="D5">
        <f>IFERROR(VLOOKUP(B5,Ingredient_Costs!$A$2:$C$200,3,FALSE)*C5,0)</f>
        <v>0</v>
      </c>
    </row>
    <row r="6" spans="1:4" x14ac:dyDescent="0.25">
      <c r="A6" t="s">
        <v>6</v>
      </c>
      <c r="B6" t="s">
        <v>31</v>
      </c>
      <c r="C6">
        <v>4.9000000000000004</v>
      </c>
      <c r="D6">
        <f>IFERROR(VLOOKUP(B6,Ingredient_Costs!$A$2:$C$200,3,FALSE)*C6,0)</f>
        <v>0</v>
      </c>
    </row>
    <row r="7" spans="1:4" x14ac:dyDescent="0.25">
      <c r="A7" t="s">
        <v>6</v>
      </c>
      <c r="B7" t="s">
        <v>32</v>
      </c>
      <c r="C7">
        <v>5.6</v>
      </c>
      <c r="D7">
        <f>IFERROR(VLOOKUP(B7,Ingredient_Costs!$A$2:$C$200,3,FALSE)*C7,0)</f>
        <v>0</v>
      </c>
    </row>
    <row r="8" spans="1:4" x14ac:dyDescent="0.25">
      <c r="A8" t="s">
        <v>6</v>
      </c>
      <c r="B8" t="s">
        <v>33</v>
      </c>
      <c r="C8">
        <v>1.2</v>
      </c>
      <c r="D8">
        <f>IFERROR(VLOOKUP(B8,Ingredient_Costs!$A$2:$C$200,3,FALSE)*C8,0)</f>
        <v>0</v>
      </c>
    </row>
    <row r="9" spans="1:4" x14ac:dyDescent="0.25">
      <c r="A9" t="s">
        <v>6</v>
      </c>
      <c r="B9" t="s">
        <v>34</v>
      </c>
      <c r="C9">
        <v>2.5</v>
      </c>
      <c r="D9">
        <f>IFERROR(VLOOKUP(B9,Ingredient_Costs!$A$2:$C$200,3,FALSE)*C9,0)</f>
        <v>0</v>
      </c>
    </row>
    <row r="10" spans="1:4" x14ac:dyDescent="0.25">
      <c r="A10" t="s">
        <v>6</v>
      </c>
      <c r="B10" t="s">
        <v>35</v>
      </c>
      <c r="C10">
        <v>1.1000000000000001</v>
      </c>
      <c r="D10">
        <f>IFERROR(VLOOKUP(B10,Ingredient_Costs!$A$2:$C$200,3,FALSE)*C10,0)</f>
        <v>0</v>
      </c>
    </row>
    <row r="11" spans="1:4" x14ac:dyDescent="0.25">
      <c r="A11" t="s">
        <v>7</v>
      </c>
      <c r="B11" t="s">
        <v>36</v>
      </c>
      <c r="C11">
        <v>4.9000000000000004</v>
      </c>
      <c r="D11">
        <f>IFERROR(VLOOKUP(B11,Ingredient_Costs!$A$2:$C$200,3,FALSE)*C11,0)</f>
        <v>0</v>
      </c>
    </row>
    <row r="12" spans="1:4" x14ac:dyDescent="0.25">
      <c r="A12" t="s">
        <v>7</v>
      </c>
      <c r="B12" t="s">
        <v>37</v>
      </c>
      <c r="C12">
        <v>5.6</v>
      </c>
      <c r="D12">
        <f>IFERROR(VLOOKUP(B12,Ingredient_Costs!$A$2:$C$200,3,FALSE)*C12,0)</f>
        <v>0</v>
      </c>
    </row>
    <row r="13" spans="1:4" x14ac:dyDescent="0.25">
      <c r="A13" t="s">
        <v>7</v>
      </c>
      <c r="B13" t="s">
        <v>38</v>
      </c>
      <c r="C13">
        <v>1.8</v>
      </c>
      <c r="D13">
        <f>IFERROR(VLOOKUP(B13,Ingredient_Costs!$A$2:$C$200,3,FALSE)*C13,0)</f>
        <v>0</v>
      </c>
    </row>
    <row r="14" spans="1:4" x14ac:dyDescent="0.25">
      <c r="A14" t="s">
        <v>7</v>
      </c>
      <c r="B14" t="s">
        <v>39</v>
      </c>
      <c r="C14">
        <v>1.8</v>
      </c>
      <c r="D14">
        <f>IFERROR(VLOOKUP(B14,Ingredient_Costs!$A$2:$C$200,3,FALSE)*C14,0)</f>
        <v>0</v>
      </c>
    </row>
    <row r="15" spans="1:4" x14ac:dyDescent="0.25">
      <c r="A15" t="s">
        <v>8</v>
      </c>
      <c r="B15" t="s">
        <v>27</v>
      </c>
      <c r="C15">
        <v>4.9000000000000004</v>
      </c>
      <c r="D15">
        <f>IFERROR(VLOOKUP(B15,Ingredient_Costs!$A$2:$C$200,3,FALSE)*C15,0)</f>
        <v>0</v>
      </c>
    </row>
    <row r="16" spans="1:4" x14ac:dyDescent="0.25">
      <c r="A16" t="s">
        <v>8</v>
      </c>
      <c r="B16" t="s">
        <v>40</v>
      </c>
      <c r="C16">
        <v>5.6</v>
      </c>
      <c r="D16">
        <f>IFERROR(VLOOKUP(B16,Ingredient_Costs!$A$2:$C$200,3,FALSE)*C16,0)</f>
        <v>0</v>
      </c>
    </row>
    <row r="17" spans="1:4" x14ac:dyDescent="0.25">
      <c r="A17" t="s">
        <v>8</v>
      </c>
      <c r="B17" t="s">
        <v>41</v>
      </c>
      <c r="C17">
        <v>3.5</v>
      </c>
      <c r="D17">
        <f>IFERROR(VLOOKUP(B17,Ingredient_Costs!$A$2:$C$200,3,FALSE)*C17,0)</f>
        <v>0</v>
      </c>
    </row>
    <row r="18" spans="1:4" x14ac:dyDescent="0.25">
      <c r="A18" t="s">
        <v>8</v>
      </c>
      <c r="B18" t="s">
        <v>42</v>
      </c>
      <c r="C18">
        <v>0.7</v>
      </c>
      <c r="D18">
        <f>IFERROR(VLOOKUP(B18,Ingredient_Costs!$A$2:$C$200,3,FALSE)*C18,0)</f>
        <v>0</v>
      </c>
    </row>
    <row r="19" spans="1:4" x14ac:dyDescent="0.25">
      <c r="A19" t="s">
        <v>9</v>
      </c>
      <c r="B19" t="s">
        <v>43</v>
      </c>
      <c r="C19">
        <v>4.9000000000000004</v>
      </c>
      <c r="D19">
        <f>IFERROR(VLOOKUP(B19,Ingredient_Costs!$A$2:$C$200,3,FALSE)*C19,0)</f>
        <v>0</v>
      </c>
    </row>
    <row r="20" spans="1:4" x14ac:dyDescent="0.25">
      <c r="A20" t="s">
        <v>9</v>
      </c>
      <c r="B20" t="s">
        <v>40</v>
      </c>
      <c r="C20">
        <v>5.6</v>
      </c>
      <c r="D20">
        <f>IFERROR(VLOOKUP(B20,Ingredient_Costs!$A$2:$C$200,3,FALSE)*C20,0)</f>
        <v>0</v>
      </c>
    </row>
    <row r="21" spans="1:4" x14ac:dyDescent="0.25">
      <c r="A21" t="s">
        <v>9</v>
      </c>
      <c r="B21" t="s">
        <v>44</v>
      </c>
      <c r="C21">
        <v>3.2</v>
      </c>
      <c r="D21">
        <f>IFERROR(VLOOKUP(B21,Ingredient_Costs!$A$2:$C$200,3,FALSE)*C21,0)</f>
        <v>0</v>
      </c>
    </row>
    <row r="22" spans="1:4" x14ac:dyDescent="0.25">
      <c r="A22" t="s">
        <v>10</v>
      </c>
      <c r="B22" t="s">
        <v>27</v>
      </c>
      <c r="C22">
        <v>4.9000000000000004</v>
      </c>
      <c r="D22">
        <f>IFERROR(VLOOKUP(B22,Ingredient_Costs!$A$2:$C$200,3,FALSE)*C22,0)</f>
        <v>0</v>
      </c>
    </row>
    <row r="23" spans="1:4" x14ac:dyDescent="0.25">
      <c r="A23" t="s">
        <v>10</v>
      </c>
      <c r="B23" t="s">
        <v>45</v>
      </c>
      <c r="C23">
        <v>5.6</v>
      </c>
      <c r="D23">
        <f>IFERROR(VLOOKUP(B23,Ingredient_Costs!$A$2:$C$200,3,FALSE)*C23,0)</f>
        <v>0</v>
      </c>
    </row>
    <row r="24" spans="1:4" x14ac:dyDescent="0.25">
      <c r="A24" t="s">
        <v>10</v>
      </c>
      <c r="B24" t="s">
        <v>46</v>
      </c>
      <c r="C24">
        <v>3.5</v>
      </c>
      <c r="D24">
        <f>IFERROR(VLOOKUP(B24,Ingredient_Costs!$A$2:$C$200,3,FALSE)*C24,0)</f>
        <v>0</v>
      </c>
    </row>
    <row r="25" spans="1:4" x14ac:dyDescent="0.25">
      <c r="A25" t="s">
        <v>10</v>
      </c>
      <c r="B25" t="s">
        <v>47</v>
      </c>
      <c r="C25">
        <v>1.1000000000000001</v>
      </c>
      <c r="D25">
        <f>IFERROR(VLOOKUP(B25,Ingredient_Costs!$A$2:$C$200,3,FALSE)*C25,0)</f>
        <v>0</v>
      </c>
    </row>
    <row r="26" spans="1:4" x14ac:dyDescent="0.25">
      <c r="A26" t="s">
        <v>11</v>
      </c>
      <c r="B26" t="s">
        <v>31</v>
      </c>
      <c r="C26">
        <v>4.9000000000000004</v>
      </c>
      <c r="D26">
        <f>IFERROR(VLOOKUP(B26,Ingredient_Costs!$A$2:$C$200,3,FALSE)*C26,0)</f>
        <v>0</v>
      </c>
    </row>
    <row r="27" spans="1:4" x14ac:dyDescent="0.25">
      <c r="A27" t="s">
        <v>11</v>
      </c>
      <c r="B27" t="s">
        <v>48</v>
      </c>
      <c r="C27">
        <v>2.5</v>
      </c>
      <c r="D27">
        <f>IFERROR(VLOOKUP(B27,Ingredient_Costs!$A$2:$C$200,3,FALSE)*C27,0)</f>
        <v>0</v>
      </c>
    </row>
    <row r="28" spans="1:4" x14ac:dyDescent="0.25">
      <c r="A28" t="s">
        <v>11</v>
      </c>
      <c r="B28" t="s">
        <v>49</v>
      </c>
      <c r="C28">
        <v>2.1</v>
      </c>
      <c r="D28">
        <f>IFERROR(VLOOKUP(B28,Ingredient_Costs!$A$2:$C$200,3,FALSE)*C28,0)</f>
        <v>0</v>
      </c>
    </row>
    <row r="29" spans="1:4" x14ac:dyDescent="0.25">
      <c r="A29" t="s">
        <v>11</v>
      </c>
      <c r="B29" t="s">
        <v>39</v>
      </c>
      <c r="C29">
        <v>1.4</v>
      </c>
      <c r="D29">
        <f>IFERROR(VLOOKUP(B29,Ingredient_Costs!$A$2:$C$200,3,FALSE)*C29,0)</f>
        <v>0</v>
      </c>
    </row>
    <row r="30" spans="1:4" x14ac:dyDescent="0.25">
      <c r="A30" t="s">
        <v>12</v>
      </c>
      <c r="B30" t="s">
        <v>27</v>
      </c>
      <c r="C30">
        <v>4.9000000000000004</v>
      </c>
      <c r="D30">
        <f>IFERROR(VLOOKUP(B30,Ingredient_Costs!$A$2:$C$200,3,FALSE)*C30,0)</f>
        <v>0</v>
      </c>
    </row>
    <row r="31" spans="1:4" x14ac:dyDescent="0.25">
      <c r="A31" t="s">
        <v>12</v>
      </c>
      <c r="B31" t="s">
        <v>28</v>
      </c>
      <c r="C31">
        <v>5.6</v>
      </c>
      <c r="D31">
        <f>IFERROR(VLOOKUP(B31,Ingredient_Costs!$A$2:$C$200,3,FALSE)*C31,0)</f>
        <v>0</v>
      </c>
    </row>
    <row r="32" spans="1:4" x14ac:dyDescent="0.25">
      <c r="A32" t="s">
        <v>12</v>
      </c>
      <c r="B32" t="s">
        <v>50</v>
      </c>
      <c r="C32">
        <v>1.8</v>
      </c>
      <c r="D32">
        <f>IFERROR(VLOOKUP(B32,Ingredient_Costs!$A$2:$C$200,3,FALSE)*C32,0)</f>
        <v>0</v>
      </c>
    </row>
    <row r="33" spans="1:4" x14ac:dyDescent="0.25">
      <c r="A33" t="s">
        <v>12</v>
      </c>
      <c r="B33" t="s">
        <v>51</v>
      </c>
      <c r="C33">
        <v>1.8</v>
      </c>
      <c r="D33">
        <f>IFERROR(VLOOKUP(B33,Ingredient_Costs!$A$2:$C$200,3,FALSE)*C33,0)</f>
        <v>0</v>
      </c>
    </row>
    <row r="34" spans="1:4" x14ac:dyDescent="0.25">
      <c r="A34" t="s">
        <v>12</v>
      </c>
      <c r="B34" t="s">
        <v>52</v>
      </c>
      <c r="C34">
        <v>0.5</v>
      </c>
      <c r="D34">
        <f>IFERROR(VLOOKUP(B34,Ingredient_Costs!$A$2:$C$200,3,FALSE)*C34,0)</f>
        <v>0</v>
      </c>
    </row>
    <row r="35" spans="1:4" x14ac:dyDescent="0.25">
      <c r="A35" t="s">
        <v>12</v>
      </c>
      <c r="B35" t="s">
        <v>53</v>
      </c>
      <c r="C35">
        <v>1.1000000000000001</v>
      </c>
      <c r="D35">
        <f>IFERROR(VLOOKUP(B35,Ingredient_Costs!$A$2:$C$200,3,FALSE)*C35,0)</f>
        <v>0</v>
      </c>
    </row>
    <row r="36" spans="1:4" x14ac:dyDescent="0.25">
      <c r="A36" t="s">
        <v>13</v>
      </c>
      <c r="B36" t="s">
        <v>36</v>
      </c>
      <c r="C36">
        <v>4.9000000000000004</v>
      </c>
      <c r="D36">
        <f>IFERROR(VLOOKUP(B36,Ingredient_Costs!$A$2:$C$200,3,FALSE)*C36,0)</f>
        <v>0</v>
      </c>
    </row>
    <row r="37" spans="1:4" x14ac:dyDescent="0.25">
      <c r="A37" t="s">
        <v>13</v>
      </c>
      <c r="B37" t="s">
        <v>54</v>
      </c>
      <c r="C37">
        <v>0.9</v>
      </c>
      <c r="D37">
        <f>IFERROR(VLOOKUP(B37,Ingredient_Costs!$A$2:$C$200,3,FALSE)*C37,0)</f>
        <v>0</v>
      </c>
    </row>
    <row r="38" spans="1:4" x14ac:dyDescent="0.25">
      <c r="A38" t="s">
        <v>13</v>
      </c>
      <c r="B38" t="s">
        <v>38</v>
      </c>
      <c r="C38">
        <v>2.6</v>
      </c>
      <c r="D38">
        <f>IFERROR(VLOOKUP(B38,Ingredient_Costs!$A$2:$C$200,3,FALSE)*C38,0)</f>
        <v>0</v>
      </c>
    </row>
    <row r="39" spans="1:4" x14ac:dyDescent="0.25">
      <c r="A39" t="s">
        <v>13</v>
      </c>
      <c r="B39" t="s">
        <v>55</v>
      </c>
      <c r="C39">
        <v>2.1</v>
      </c>
      <c r="D39">
        <f>IFERROR(VLOOKUP(B39,Ingredient_Costs!$A$2:$C$200,3,FALSE)*C39,0)</f>
        <v>0</v>
      </c>
    </row>
    <row r="40" spans="1:4" x14ac:dyDescent="0.25">
      <c r="A40" t="s">
        <v>14</v>
      </c>
      <c r="B40" t="s">
        <v>27</v>
      </c>
      <c r="C40">
        <v>4.9000000000000004</v>
      </c>
      <c r="D40">
        <f>IFERROR(VLOOKUP(B40,Ingredient_Costs!$A$2:$C$200,3,FALSE)*C40,0)</f>
        <v>0</v>
      </c>
    </row>
    <row r="41" spans="1:4" x14ac:dyDescent="0.25">
      <c r="A41" t="s">
        <v>14</v>
      </c>
      <c r="B41" t="s">
        <v>40</v>
      </c>
      <c r="C41">
        <v>5.6</v>
      </c>
      <c r="D41">
        <f>IFERROR(VLOOKUP(B41,Ingredient_Costs!$A$2:$C$200,3,FALSE)*C41,0)</f>
        <v>0</v>
      </c>
    </row>
    <row r="42" spans="1:4" x14ac:dyDescent="0.25">
      <c r="A42" t="s">
        <v>14</v>
      </c>
      <c r="B42" t="s">
        <v>41</v>
      </c>
      <c r="C42">
        <v>3.5</v>
      </c>
      <c r="D42">
        <f>IFERROR(VLOOKUP(B42,Ingredient_Costs!$A$2:$C$200,3,FALSE)*C42,0)</f>
        <v>0</v>
      </c>
    </row>
    <row r="43" spans="1:4" x14ac:dyDescent="0.25">
      <c r="A43" t="s">
        <v>14</v>
      </c>
      <c r="B43" t="s">
        <v>56</v>
      </c>
      <c r="C43">
        <v>2.8</v>
      </c>
      <c r="D43">
        <f>IFERROR(VLOOKUP(B43,Ingredient_Costs!$A$2:$C$200,3,FALSE)*C43,0)</f>
        <v>0</v>
      </c>
    </row>
    <row r="44" spans="1:4" x14ac:dyDescent="0.25">
      <c r="A44" t="s">
        <v>15</v>
      </c>
      <c r="B44" t="s">
        <v>27</v>
      </c>
      <c r="C44">
        <v>4.9000000000000004</v>
      </c>
      <c r="D44">
        <f>IFERROR(VLOOKUP(B44,Ingredient_Costs!$A$2:$C$200,3,FALSE)*C44,0)</f>
        <v>0</v>
      </c>
    </row>
    <row r="45" spans="1:4" x14ac:dyDescent="0.25">
      <c r="A45" t="s">
        <v>15</v>
      </c>
      <c r="B45" t="s">
        <v>28</v>
      </c>
      <c r="C45">
        <v>5.6</v>
      </c>
      <c r="D45">
        <f>IFERROR(VLOOKUP(B45,Ingredient_Costs!$A$2:$C$200,3,FALSE)*C45,0)</f>
        <v>0</v>
      </c>
    </row>
    <row r="46" spans="1:4" x14ac:dyDescent="0.25">
      <c r="A46" t="s">
        <v>15</v>
      </c>
      <c r="B46" t="s">
        <v>57</v>
      </c>
      <c r="C46">
        <v>3.5</v>
      </c>
      <c r="D46">
        <f>IFERROR(VLOOKUP(B46,Ingredient_Costs!$A$2:$C$200,3,FALSE)*C46,0)</f>
        <v>0</v>
      </c>
    </row>
    <row r="47" spans="1:4" x14ac:dyDescent="0.25">
      <c r="A47" t="s">
        <v>16</v>
      </c>
      <c r="B47" t="s">
        <v>31</v>
      </c>
      <c r="C47">
        <v>3.5</v>
      </c>
      <c r="D47">
        <f>IFERROR(VLOOKUP(B47,Ingredient_Costs!$A$2:$C$200,3,FALSE)*C47,0)</f>
        <v>0</v>
      </c>
    </row>
    <row r="48" spans="1:4" x14ac:dyDescent="0.25">
      <c r="A48" t="s">
        <v>16</v>
      </c>
      <c r="B48" t="s">
        <v>58</v>
      </c>
      <c r="C48">
        <v>4.2</v>
      </c>
      <c r="D48">
        <f>IFERROR(VLOOKUP(B48,Ingredient_Costs!$A$2:$C$200,3,FALSE)*C48,0)</f>
        <v>0</v>
      </c>
    </row>
    <row r="49" spans="1:4" x14ac:dyDescent="0.25">
      <c r="A49" t="s">
        <v>16</v>
      </c>
      <c r="B49" t="s">
        <v>37</v>
      </c>
      <c r="C49">
        <v>5.6</v>
      </c>
      <c r="D49">
        <f>IFERROR(VLOOKUP(B49,Ingredient_Costs!$A$2:$C$200,3,FALSE)*C49,0)</f>
        <v>0</v>
      </c>
    </row>
    <row r="50" spans="1:4" x14ac:dyDescent="0.25">
      <c r="A50" t="s">
        <v>16</v>
      </c>
      <c r="B50" t="s">
        <v>41</v>
      </c>
      <c r="C50">
        <v>2.8</v>
      </c>
      <c r="D50">
        <f>IFERROR(VLOOKUP(B50,Ingredient_Costs!$A$2:$C$200,3,FALSE)*C50,0)</f>
        <v>0</v>
      </c>
    </row>
    <row r="51" spans="1:4" x14ac:dyDescent="0.25">
      <c r="A51" t="s">
        <v>17</v>
      </c>
      <c r="B51" t="s">
        <v>36</v>
      </c>
      <c r="C51">
        <v>4.9000000000000004</v>
      </c>
      <c r="D51">
        <f>IFERROR(VLOOKUP(B51,Ingredient_Costs!$A$2:$C$200,3,FALSE)*C51,0)</f>
        <v>0</v>
      </c>
    </row>
    <row r="52" spans="1:4" x14ac:dyDescent="0.25">
      <c r="A52" t="s">
        <v>17</v>
      </c>
      <c r="B52" t="s">
        <v>28</v>
      </c>
      <c r="C52">
        <v>5.6</v>
      </c>
      <c r="D52">
        <f>IFERROR(VLOOKUP(B52,Ingredient_Costs!$A$2:$C$200,3,FALSE)*C52,0)</f>
        <v>0</v>
      </c>
    </row>
    <row r="53" spans="1:4" x14ac:dyDescent="0.25">
      <c r="A53" t="s">
        <v>17</v>
      </c>
      <c r="B53" t="s">
        <v>59</v>
      </c>
      <c r="C53">
        <v>1.8</v>
      </c>
      <c r="D53">
        <f>IFERROR(VLOOKUP(B53,Ingredient_Costs!$A$2:$C$200,3,FALSE)*C53,0)</f>
        <v>0</v>
      </c>
    </row>
    <row r="54" spans="1:4" x14ac:dyDescent="0.25">
      <c r="A54" t="s">
        <v>17</v>
      </c>
      <c r="B54" t="s">
        <v>60</v>
      </c>
      <c r="C54">
        <v>0.5</v>
      </c>
      <c r="D54">
        <f>IFERROR(VLOOKUP(B54,Ingredient_Costs!$A$2:$C$200,3,FALSE)*C54,0)</f>
        <v>0</v>
      </c>
    </row>
    <row r="55" spans="1:4" x14ac:dyDescent="0.25">
      <c r="A55" t="s">
        <v>18</v>
      </c>
      <c r="B55" t="s">
        <v>27</v>
      </c>
      <c r="C55">
        <v>4.9000000000000004</v>
      </c>
      <c r="D55">
        <f>IFERROR(VLOOKUP(B55,Ingredient_Costs!$A$2:$C$200,3,FALSE)*C55,0)</f>
        <v>0</v>
      </c>
    </row>
    <row r="56" spans="1:4" x14ac:dyDescent="0.25">
      <c r="A56" t="s">
        <v>18</v>
      </c>
      <c r="B56" t="s">
        <v>61</v>
      </c>
      <c r="C56">
        <v>0.7</v>
      </c>
      <c r="D56">
        <f>IFERROR(VLOOKUP(B56,Ingredient_Costs!$A$2:$C$200,3,FALSE)*C56,0)</f>
        <v>0</v>
      </c>
    </row>
    <row r="57" spans="1:4" x14ac:dyDescent="0.25">
      <c r="A57" t="s">
        <v>18</v>
      </c>
      <c r="B57" t="s">
        <v>44</v>
      </c>
      <c r="C57">
        <v>2.8</v>
      </c>
      <c r="D57">
        <f>IFERROR(VLOOKUP(B57,Ingredient_Costs!$A$2:$C$200,3,FALSE)*C57,0)</f>
        <v>0</v>
      </c>
    </row>
    <row r="58" spans="1:4" x14ac:dyDescent="0.25">
      <c r="A58" t="s">
        <v>18</v>
      </c>
      <c r="B58" t="s">
        <v>62</v>
      </c>
      <c r="C58">
        <v>0.5</v>
      </c>
      <c r="D58">
        <f>IFERROR(VLOOKUP(B58,Ingredient_Costs!$A$2:$C$200,3,FALSE)*C58,0)</f>
        <v>0</v>
      </c>
    </row>
    <row r="59" spans="1:4" x14ac:dyDescent="0.25">
      <c r="A59" t="s">
        <v>19</v>
      </c>
      <c r="B59" t="s">
        <v>31</v>
      </c>
      <c r="C59">
        <v>4.9000000000000004</v>
      </c>
      <c r="D59">
        <f>IFERROR(VLOOKUP(B59,Ingredient_Costs!$A$2:$C$200,3,FALSE)*C59,0)</f>
        <v>0</v>
      </c>
    </row>
    <row r="60" spans="1:4" x14ac:dyDescent="0.25">
      <c r="A60" t="s">
        <v>19</v>
      </c>
      <c r="B60" t="s">
        <v>40</v>
      </c>
      <c r="C60">
        <v>5.6</v>
      </c>
      <c r="D60">
        <f>IFERROR(VLOOKUP(B60,Ingredient_Costs!$A$2:$C$200,3,FALSE)*C60,0)</f>
        <v>0</v>
      </c>
    </row>
    <row r="61" spans="1:4" x14ac:dyDescent="0.25">
      <c r="A61" t="s">
        <v>19</v>
      </c>
      <c r="B61" t="s">
        <v>63</v>
      </c>
      <c r="C61">
        <v>3.5</v>
      </c>
      <c r="D61">
        <f>IFERROR(VLOOKUP(B61,Ingredient_Costs!$A$2:$C$200,3,FALSE)*C61,0)</f>
        <v>0</v>
      </c>
    </row>
    <row r="62" spans="1:4" x14ac:dyDescent="0.25">
      <c r="A62" t="s">
        <v>20</v>
      </c>
      <c r="B62" t="s">
        <v>27</v>
      </c>
      <c r="C62">
        <v>4.9000000000000004</v>
      </c>
      <c r="D62">
        <f>IFERROR(VLOOKUP(B62,Ingredient_Costs!$A$2:$C$200,3,FALSE)*C62,0)</f>
        <v>0</v>
      </c>
    </row>
    <row r="63" spans="1:4" x14ac:dyDescent="0.25">
      <c r="A63" t="s">
        <v>20</v>
      </c>
      <c r="B63" t="s">
        <v>38</v>
      </c>
      <c r="C63">
        <v>2.5</v>
      </c>
      <c r="D63">
        <f>IFERROR(VLOOKUP(B63,Ingredient_Costs!$A$2:$C$200,3,FALSE)*C63,0)</f>
        <v>0</v>
      </c>
    </row>
    <row r="64" spans="1:4" x14ac:dyDescent="0.25">
      <c r="A64" t="s">
        <v>20</v>
      </c>
      <c r="B64" t="s">
        <v>39</v>
      </c>
      <c r="C64">
        <v>1.1000000000000001</v>
      </c>
      <c r="D64">
        <f>IFERROR(VLOOKUP(B64,Ingredient_Costs!$A$2:$C$200,3,FALSE)*C64,0)</f>
        <v>0</v>
      </c>
    </row>
    <row r="65" spans="1:4" x14ac:dyDescent="0.25">
      <c r="A65" t="s">
        <v>20</v>
      </c>
      <c r="B65" t="s">
        <v>64</v>
      </c>
      <c r="C65">
        <v>5.6</v>
      </c>
      <c r="D65">
        <f>IFERROR(VLOOKUP(B65,Ingredient_Costs!$A$2:$C$200,3,FALSE)*C65,0)</f>
        <v>0</v>
      </c>
    </row>
    <row r="66" spans="1:4" x14ac:dyDescent="0.25">
      <c r="A66" t="s">
        <v>20</v>
      </c>
      <c r="B66" t="s">
        <v>65</v>
      </c>
      <c r="C66">
        <v>1.1000000000000001</v>
      </c>
      <c r="D66">
        <f>IFERROR(VLOOKUP(B66,Ingredient_Costs!$A$2:$C$200,3,FALSE)*C66,0)</f>
        <v>0</v>
      </c>
    </row>
    <row r="67" spans="1:4" x14ac:dyDescent="0.25">
      <c r="A67" t="s">
        <v>21</v>
      </c>
      <c r="B67" t="s">
        <v>31</v>
      </c>
      <c r="C67">
        <v>4.9000000000000004</v>
      </c>
      <c r="D67">
        <f>IFERROR(VLOOKUP(B67,Ingredient_Costs!$A$2:$C$200,3,FALSE)*C67,0)</f>
        <v>0</v>
      </c>
    </row>
    <row r="68" spans="1:4" x14ac:dyDescent="0.25">
      <c r="A68" t="s">
        <v>21</v>
      </c>
      <c r="B68" t="s">
        <v>45</v>
      </c>
      <c r="C68">
        <v>5.6</v>
      </c>
      <c r="D68">
        <f>IFERROR(VLOOKUP(B68,Ingredient_Costs!$A$2:$C$200,3,FALSE)*C68,0)</f>
        <v>0</v>
      </c>
    </row>
    <row r="69" spans="1:4" x14ac:dyDescent="0.25">
      <c r="A69" t="s">
        <v>21</v>
      </c>
      <c r="B69" t="s">
        <v>66</v>
      </c>
      <c r="C69">
        <v>3.5</v>
      </c>
      <c r="D69">
        <f>IFERROR(VLOOKUP(B69,Ingredient_Costs!$A$2:$C$200,3,FALSE)*C69,0)</f>
        <v>0</v>
      </c>
    </row>
    <row r="70" spans="1:4" x14ac:dyDescent="0.25">
      <c r="A70" t="s">
        <v>22</v>
      </c>
      <c r="B70" t="s">
        <v>36</v>
      </c>
      <c r="C70">
        <v>4.9000000000000004</v>
      </c>
      <c r="D70">
        <f>IFERROR(VLOOKUP(B70,Ingredient_Costs!$A$2:$C$200,3,FALSE)*C70,0)</f>
        <v>0</v>
      </c>
    </row>
    <row r="71" spans="1:4" x14ac:dyDescent="0.25">
      <c r="A71" t="s">
        <v>22</v>
      </c>
      <c r="B71" t="s">
        <v>28</v>
      </c>
      <c r="C71">
        <v>5.6</v>
      </c>
      <c r="D71">
        <f>IFERROR(VLOOKUP(B71,Ingredient_Costs!$A$2:$C$200,3,FALSE)*C71,0)</f>
        <v>0</v>
      </c>
    </row>
    <row r="72" spans="1:4" x14ac:dyDescent="0.25">
      <c r="A72" t="s">
        <v>22</v>
      </c>
      <c r="B72" t="s">
        <v>67</v>
      </c>
      <c r="C72">
        <v>3.5</v>
      </c>
      <c r="D72">
        <f>IFERROR(VLOOKUP(B72,Ingredient_Costs!$A$2:$C$200,3,FALSE)*C72,0)</f>
        <v>0</v>
      </c>
    </row>
    <row r="73" spans="1:4" x14ac:dyDescent="0.25">
      <c r="A73" t="s">
        <v>22</v>
      </c>
      <c r="B73" t="s">
        <v>68</v>
      </c>
      <c r="C73">
        <v>1.1000000000000001</v>
      </c>
      <c r="D73">
        <f>IFERROR(VLOOKUP(B73,Ingredient_Costs!$A$2:$C$200,3,FALSE)*C73,0)</f>
        <v>0</v>
      </c>
    </row>
    <row r="74" spans="1:4" x14ac:dyDescent="0.25">
      <c r="A74" t="s">
        <v>23</v>
      </c>
      <c r="B74" t="s">
        <v>27</v>
      </c>
      <c r="C74">
        <v>4.9000000000000004</v>
      </c>
      <c r="D74">
        <f>IFERROR(VLOOKUP(B74,Ingredient_Costs!$A$2:$C$200,3,FALSE)*C74,0)</f>
        <v>0</v>
      </c>
    </row>
    <row r="75" spans="1:4" x14ac:dyDescent="0.25">
      <c r="A75" t="s">
        <v>23</v>
      </c>
      <c r="B75" t="s">
        <v>28</v>
      </c>
      <c r="C75">
        <v>5.6</v>
      </c>
      <c r="D75">
        <f>IFERROR(VLOOKUP(B75,Ingredient_Costs!$A$2:$C$200,3,FALSE)*C75,0)</f>
        <v>0</v>
      </c>
    </row>
    <row r="76" spans="1:4" x14ac:dyDescent="0.25">
      <c r="A76" t="s">
        <v>23</v>
      </c>
      <c r="B76" t="s">
        <v>69</v>
      </c>
      <c r="C76">
        <v>1.8</v>
      </c>
      <c r="D76">
        <f>IFERROR(VLOOKUP(B76,Ingredient_Costs!$A$2:$C$200,3,FALSE)*C76,0)</f>
        <v>0</v>
      </c>
    </row>
    <row r="77" spans="1:4" x14ac:dyDescent="0.25">
      <c r="A77" t="s">
        <v>23</v>
      </c>
      <c r="B77" t="s">
        <v>70</v>
      </c>
      <c r="C77">
        <v>1.8</v>
      </c>
      <c r="D77">
        <f>IFERROR(VLOOKUP(B77,Ingredient_Costs!$A$2:$C$200,3,FALSE)*C77,0)</f>
        <v>0</v>
      </c>
    </row>
    <row r="78" spans="1:4" x14ac:dyDescent="0.25">
      <c r="A78" t="s">
        <v>23</v>
      </c>
      <c r="B78" t="s">
        <v>71</v>
      </c>
      <c r="C78">
        <v>1.1000000000000001</v>
      </c>
      <c r="D78">
        <f>IFERROR(VLOOKUP(B78,Ingredient_Costs!$A$2:$C$200,3,FALSE)*C78,0)</f>
        <v>0</v>
      </c>
    </row>
    <row r="79" spans="1:4" x14ac:dyDescent="0.25">
      <c r="A79" t="s">
        <v>24</v>
      </c>
      <c r="B79" t="s">
        <v>31</v>
      </c>
      <c r="C79">
        <v>4.9000000000000004</v>
      </c>
      <c r="D79">
        <f>IFERROR(VLOOKUP(B79,Ingredient_Costs!$A$2:$C$200,3,FALSE)*C79,0)</f>
        <v>0</v>
      </c>
    </row>
    <row r="80" spans="1:4" x14ac:dyDescent="0.25">
      <c r="A80" t="s">
        <v>24</v>
      </c>
      <c r="B80" t="s">
        <v>40</v>
      </c>
      <c r="C80">
        <v>5.6</v>
      </c>
      <c r="D80">
        <f>IFERROR(VLOOKUP(B80,Ingredient_Costs!$A$2:$C$200,3,FALSE)*C80,0)</f>
        <v>0</v>
      </c>
    </row>
    <row r="81" spans="1:4" x14ac:dyDescent="0.25">
      <c r="A81" t="s">
        <v>24</v>
      </c>
      <c r="B81" t="s">
        <v>72</v>
      </c>
      <c r="C81">
        <v>3.5</v>
      </c>
      <c r="D81">
        <f>IFERROR(VLOOKUP(B81,Ingredient_Costs!$A$2:$C$200,3,FALSE)*C81,0)</f>
        <v>0</v>
      </c>
    </row>
    <row r="82" spans="1:4" x14ac:dyDescent="0.25">
      <c r="A82" t="s">
        <v>24</v>
      </c>
      <c r="B82" t="s">
        <v>73</v>
      </c>
      <c r="C82">
        <v>1.4</v>
      </c>
      <c r="D82">
        <f>IFERROR(VLOOKUP(B82,Ingredient_Costs!$A$2:$C$200,3,FALSE)*C82,0)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/>
  </sheetViews>
  <sheetFormatPr defaultRowHeight="15" x14ac:dyDescent="0.25"/>
  <sheetData>
    <row r="1" spans="1:3" x14ac:dyDescent="0.25">
      <c r="A1" s="1" t="s">
        <v>25</v>
      </c>
      <c r="B1" s="1" t="s">
        <v>74</v>
      </c>
      <c r="C1" s="1" t="s">
        <v>75</v>
      </c>
    </row>
    <row r="2" spans="1:3" x14ac:dyDescent="0.25">
      <c r="A2" t="s">
        <v>40</v>
      </c>
      <c r="C2">
        <f t="shared" ref="C2:C48" si="0">IFERROR(B2/16,0)</f>
        <v>0</v>
      </c>
    </row>
    <row r="3" spans="1:3" x14ac:dyDescent="0.25">
      <c r="A3" t="s">
        <v>34</v>
      </c>
      <c r="C3">
        <f t="shared" si="0"/>
        <v>0</v>
      </c>
    </row>
    <row r="4" spans="1:3" x14ac:dyDescent="0.25">
      <c r="A4" t="s">
        <v>29</v>
      </c>
      <c r="C4">
        <f t="shared" si="0"/>
        <v>0</v>
      </c>
    </row>
    <row r="5" spans="1:3" x14ac:dyDescent="0.25">
      <c r="A5" t="s">
        <v>32</v>
      </c>
      <c r="C5">
        <f t="shared" si="0"/>
        <v>0</v>
      </c>
    </row>
    <row r="6" spans="1:3" x14ac:dyDescent="0.25">
      <c r="A6" t="s">
        <v>71</v>
      </c>
      <c r="C6">
        <f t="shared" si="0"/>
        <v>0</v>
      </c>
    </row>
    <row r="7" spans="1:3" x14ac:dyDescent="0.25">
      <c r="A7" t="s">
        <v>67</v>
      </c>
      <c r="C7">
        <f t="shared" si="0"/>
        <v>0</v>
      </c>
    </row>
    <row r="8" spans="1:3" x14ac:dyDescent="0.25">
      <c r="A8" t="s">
        <v>69</v>
      </c>
      <c r="C8">
        <f t="shared" si="0"/>
        <v>0</v>
      </c>
    </row>
    <row r="9" spans="1:3" x14ac:dyDescent="0.25">
      <c r="A9" t="s">
        <v>70</v>
      </c>
      <c r="C9">
        <f t="shared" si="0"/>
        <v>0</v>
      </c>
    </row>
    <row r="10" spans="1:3" x14ac:dyDescent="0.25">
      <c r="A10" t="s">
        <v>27</v>
      </c>
      <c r="C10">
        <f t="shared" si="0"/>
        <v>0</v>
      </c>
    </row>
    <row r="11" spans="1:3" x14ac:dyDescent="0.25">
      <c r="A11" t="s">
        <v>33</v>
      </c>
      <c r="C11">
        <f t="shared" si="0"/>
        <v>0</v>
      </c>
    </row>
    <row r="12" spans="1:3" x14ac:dyDescent="0.25">
      <c r="A12" t="s">
        <v>54</v>
      </c>
      <c r="C12">
        <f t="shared" si="0"/>
        <v>0</v>
      </c>
    </row>
    <row r="13" spans="1:3" x14ac:dyDescent="0.25">
      <c r="A13" t="s">
        <v>50</v>
      </c>
      <c r="C13">
        <f t="shared" si="0"/>
        <v>0</v>
      </c>
    </row>
    <row r="14" spans="1:3" x14ac:dyDescent="0.25">
      <c r="A14" t="s">
        <v>37</v>
      </c>
      <c r="C14">
        <f t="shared" si="0"/>
        <v>0</v>
      </c>
    </row>
    <row r="15" spans="1:3" x14ac:dyDescent="0.25">
      <c r="A15" t="s">
        <v>58</v>
      </c>
      <c r="C15">
        <f t="shared" si="0"/>
        <v>0</v>
      </c>
    </row>
    <row r="16" spans="1:3" x14ac:dyDescent="0.25">
      <c r="A16" t="s">
        <v>55</v>
      </c>
      <c r="C16">
        <f t="shared" si="0"/>
        <v>0</v>
      </c>
    </row>
    <row r="17" spans="1:3" x14ac:dyDescent="0.25">
      <c r="A17" t="s">
        <v>52</v>
      </c>
      <c r="C17">
        <f t="shared" si="0"/>
        <v>0</v>
      </c>
    </row>
    <row r="18" spans="1:3" x14ac:dyDescent="0.25">
      <c r="A18" t="s">
        <v>46</v>
      </c>
      <c r="C18">
        <f t="shared" si="0"/>
        <v>0</v>
      </c>
    </row>
    <row r="19" spans="1:3" x14ac:dyDescent="0.25">
      <c r="A19" t="s">
        <v>36</v>
      </c>
      <c r="C19">
        <f t="shared" si="0"/>
        <v>0</v>
      </c>
    </row>
    <row r="20" spans="1:3" x14ac:dyDescent="0.25">
      <c r="A20" t="s">
        <v>31</v>
      </c>
      <c r="C20">
        <f t="shared" si="0"/>
        <v>0</v>
      </c>
    </row>
    <row r="21" spans="1:3" x14ac:dyDescent="0.25">
      <c r="A21" t="s">
        <v>28</v>
      </c>
      <c r="C21">
        <f t="shared" si="0"/>
        <v>0</v>
      </c>
    </row>
    <row r="22" spans="1:3" x14ac:dyDescent="0.25">
      <c r="A22" t="s">
        <v>48</v>
      </c>
      <c r="C22">
        <f t="shared" si="0"/>
        <v>0</v>
      </c>
    </row>
    <row r="23" spans="1:3" x14ac:dyDescent="0.25">
      <c r="A23" t="s">
        <v>56</v>
      </c>
      <c r="C23">
        <f t="shared" si="0"/>
        <v>0</v>
      </c>
    </row>
    <row r="24" spans="1:3" x14ac:dyDescent="0.25">
      <c r="A24" t="s">
        <v>42</v>
      </c>
      <c r="C24">
        <f t="shared" si="0"/>
        <v>0</v>
      </c>
    </row>
    <row r="25" spans="1:3" x14ac:dyDescent="0.25">
      <c r="A25" t="s">
        <v>63</v>
      </c>
      <c r="C25">
        <f t="shared" si="0"/>
        <v>0</v>
      </c>
    </row>
    <row r="26" spans="1:3" x14ac:dyDescent="0.25">
      <c r="A26" t="s">
        <v>60</v>
      </c>
      <c r="C26">
        <f t="shared" si="0"/>
        <v>0</v>
      </c>
    </row>
    <row r="27" spans="1:3" x14ac:dyDescent="0.25">
      <c r="A27" t="s">
        <v>73</v>
      </c>
      <c r="C27">
        <f t="shared" si="0"/>
        <v>0</v>
      </c>
    </row>
    <row r="28" spans="1:3" x14ac:dyDescent="0.25">
      <c r="A28" t="s">
        <v>68</v>
      </c>
      <c r="C28">
        <f t="shared" si="0"/>
        <v>0</v>
      </c>
    </row>
    <row r="29" spans="1:3" x14ac:dyDescent="0.25">
      <c r="A29" t="s">
        <v>62</v>
      </c>
      <c r="C29">
        <f t="shared" si="0"/>
        <v>0</v>
      </c>
    </row>
    <row r="30" spans="1:3" x14ac:dyDescent="0.25">
      <c r="A30" t="s">
        <v>47</v>
      </c>
      <c r="C30">
        <f t="shared" si="0"/>
        <v>0</v>
      </c>
    </row>
    <row r="31" spans="1:3" x14ac:dyDescent="0.25">
      <c r="A31" t="s">
        <v>44</v>
      </c>
      <c r="C31">
        <f t="shared" si="0"/>
        <v>0</v>
      </c>
    </row>
    <row r="32" spans="1:3" x14ac:dyDescent="0.25">
      <c r="A32" t="s">
        <v>45</v>
      </c>
      <c r="C32">
        <f t="shared" si="0"/>
        <v>0</v>
      </c>
    </row>
    <row r="33" spans="1:3" x14ac:dyDescent="0.25">
      <c r="A33" t="s">
        <v>72</v>
      </c>
      <c r="C33">
        <f t="shared" si="0"/>
        <v>0</v>
      </c>
    </row>
    <row r="34" spans="1:3" x14ac:dyDescent="0.25">
      <c r="A34" t="s">
        <v>39</v>
      </c>
      <c r="C34">
        <f t="shared" si="0"/>
        <v>0</v>
      </c>
    </row>
    <row r="35" spans="1:3" x14ac:dyDescent="0.25">
      <c r="A35" t="s">
        <v>66</v>
      </c>
      <c r="C35">
        <f t="shared" si="0"/>
        <v>0</v>
      </c>
    </row>
    <row r="36" spans="1:3" x14ac:dyDescent="0.25">
      <c r="A36" t="s">
        <v>38</v>
      </c>
      <c r="C36">
        <f t="shared" si="0"/>
        <v>0</v>
      </c>
    </row>
    <row r="37" spans="1:3" x14ac:dyDescent="0.25">
      <c r="A37" t="s">
        <v>59</v>
      </c>
      <c r="C37">
        <f t="shared" si="0"/>
        <v>0</v>
      </c>
    </row>
    <row r="38" spans="1:3" x14ac:dyDescent="0.25">
      <c r="A38" t="s">
        <v>64</v>
      </c>
      <c r="C38">
        <f t="shared" si="0"/>
        <v>0</v>
      </c>
    </row>
    <row r="39" spans="1:3" x14ac:dyDescent="0.25">
      <c r="A39" t="s">
        <v>61</v>
      </c>
      <c r="C39">
        <f t="shared" si="0"/>
        <v>0</v>
      </c>
    </row>
    <row r="40" spans="1:3" x14ac:dyDescent="0.25">
      <c r="A40" t="s">
        <v>65</v>
      </c>
      <c r="C40">
        <f t="shared" si="0"/>
        <v>0</v>
      </c>
    </row>
    <row r="41" spans="1:3" x14ac:dyDescent="0.25">
      <c r="A41" t="s">
        <v>35</v>
      </c>
      <c r="C41">
        <f t="shared" si="0"/>
        <v>0</v>
      </c>
    </row>
    <row r="42" spans="1:3" x14ac:dyDescent="0.25">
      <c r="A42" t="s">
        <v>41</v>
      </c>
      <c r="C42">
        <f t="shared" si="0"/>
        <v>0</v>
      </c>
    </row>
    <row r="43" spans="1:3" x14ac:dyDescent="0.25">
      <c r="A43" t="s">
        <v>30</v>
      </c>
      <c r="C43">
        <f t="shared" si="0"/>
        <v>0</v>
      </c>
    </row>
    <row r="44" spans="1:3" x14ac:dyDescent="0.25">
      <c r="A44" t="s">
        <v>51</v>
      </c>
      <c r="C44">
        <f t="shared" si="0"/>
        <v>0</v>
      </c>
    </row>
    <row r="45" spans="1:3" x14ac:dyDescent="0.25">
      <c r="A45" t="s">
        <v>49</v>
      </c>
      <c r="C45">
        <f t="shared" si="0"/>
        <v>0</v>
      </c>
    </row>
    <row r="46" spans="1:3" x14ac:dyDescent="0.25">
      <c r="A46" t="s">
        <v>43</v>
      </c>
      <c r="C46">
        <f t="shared" si="0"/>
        <v>0</v>
      </c>
    </row>
    <row r="47" spans="1:3" x14ac:dyDescent="0.25">
      <c r="A47" t="s">
        <v>53</v>
      </c>
      <c r="C47">
        <f t="shared" si="0"/>
        <v>0</v>
      </c>
    </row>
    <row r="48" spans="1:3" x14ac:dyDescent="0.25">
      <c r="A48" t="s">
        <v>57</v>
      </c>
      <c r="C4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76</v>
      </c>
      <c r="C1" s="1" t="s">
        <v>77</v>
      </c>
      <c r="D1" t="s">
        <v>78</v>
      </c>
    </row>
    <row r="2" spans="1:4" x14ac:dyDescent="0.25">
      <c r="A2" t="s">
        <v>10</v>
      </c>
      <c r="B2">
        <f>SUMIF(Recipes!$A:$A,A2,Recipes!$D:$D)</f>
        <v>0</v>
      </c>
      <c r="C2">
        <v>10</v>
      </c>
      <c r="D2">
        <f t="shared" ref="D2:D21" si="0">B2*C2</f>
        <v>0</v>
      </c>
    </row>
    <row r="3" spans="1:4" x14ac:dyDescent="0.25">
      <c r="A3" t="s">
        <v>22</v>
      </c>
      <c r="B3">
        <f>SUMIF(Recipes!$A:$A,A3,Recipes!$D:$D)</f>
        <v>0</v>
      </c>
      <c r="C3">
        <v>10</v>
      </c>
      <c r="D3">
        <f t="shared" si="0"/>
        <v>0</v>
      </c>
    </row>
    <row r="4" spans="1:4" x14ac:dyDescent="0.25">
      <c r="A4" t="s">
        <v>7</v>
      </c>
      <c r="B4">
        <f>SUMIF(Recipes!$A:$A,A4,Recipes!$D:$D)</f>
        <v>0</v>
      </c>
      <c r="C4">
        <v>10</v>
      </c>
      <c r="D4">
        <f t="shared" si="0"/>
        <v>0</v>
      </c>
    </row>
    <row r="5" spans="1:4" x14ac:dyDescent="0.25">
      <c r="A5" t="s">
        <v>17</v>
      </c>
      <c r="B5">
        <f>SUMIF(Recipes!$A:$A,A5,Recipes!$D:$D)</f>
        <v>0</v>
      </c>
      <c r="C5">
        <v>10</v>
      </c>
      <c r="D5">
        <f t="shared" si="0"/>
        <v>0</v>
      </c>
    </row>
    <row r="6" spans="1:4" x14ac:dyDescent="0.25">
      <c r="A6" t="s">
        <v>13</v>
      </c>
      <c r="B6">
        <f>SUMIF(Recipes!$A:$A,A6,Recipes!$D:$D)</f>
        <v>0</v>
      </c>
      <c r="C6">
        <v>10</v>
      </c>
      <c r="D6">
        <f t="shared" si="0"/>
        <v>0</v>
      </c>
    </row>
    <row r="7" spans="1:4" x14ac:dyDescent="0.25">
      <c r="A7" t="s">
        <v>14</v>
      </c>
      <c r="B7">
        <f>SUMIF(Recipes!$A:$A,A7,Recipes!$D:$D)</f>
        <v>0</v>
      </c>
      <c r="C7">
        <v>10</v>
      </c>
      <c r="D7">
        <f t="shared" si="0"/>
        <v>0</v>
      </c>
    </row>
    <row r="8" spans="1:4" x14ac:dyDescent="0.25">
      <c r="A8" t="s">
        <v>23</v>
      </c>
      <c r="B8">
        <f>SUMIF(Recipes!$A:$A,A8,Recipes!$D:$D)</f>
        <v>0</v>
      </c>
      <c r="C8">
        <v>10</v>
      </c>
      <c r="D8">
        <f t="shared" si="0"/>
        <v>0</v>
      </c>
    </row>
    <row r="9" spans="1:4" x14ac:dyDescent="0.25">
      <c r="A9" t="s">
        <v>20</v>
      </c>
      <c r="B9">
        <f>SUMIF(Recipes!$A:$A,A9,Recipes!$D:$D)</f>
        <v>0</v>
      </c>
      <c r="C9">
        <v>10</v>
      </c>
      <c r="D9">
        <f t="shared" si="0"/>
        <v>0</v>
      </c>
    </row>
    <row r="10" spans="1:4" x14ac:dyDescent="0.25">
      <c r="A10" t="s">
        <v>18</v>
      </c>
      <c r="B10">
        <f>SUMIF(Recipes!$A:$A,A10,Recipes!$D:$D)</f>
        <v>0</v>
      </c>
      <c r="C10">
        <v>10</v>
      </c>
      <c r="D10">
        <f t="shared" si="0"/>
        <v>0</v>
      </c>
    </row>
    <row r="11" spans="1:4" x14ac:dyDescent="0.25">
      <c r="A11" t="s">
        <v>8</v>
      </c>
      <c r="B11">
        <f>SUMIF(Recipes!$A:$A,A11,Recipes!$D:$D)</f>
        <v>0</v>
      </c>
      <c r="C11">
        <v>10</v>
      </c>
      <c r="D11">
        <f t="shared" si="0"/>
        <v>0</v>
      </c>
    </row>
    <row r="12" spans="1:4" x14ac:dyDescent="0.25">
      <c r="A12" t="s">
        <v>12</v>
      </c>
      <c r="B12">
        <f>SUMIF(Recipes!$A:$A,A12,Recipes!$D:$D)</f>
        <v>0</v>
      </c>
      <c r="C12">
        <v>10</v>
      </c>
      <c r="D12">
        <f t="shared" si="0"/>
        <v>0</v>
      </c>
    </row>
    <row r="13" spans="1:4" x14ac:dyDescent="0.25">
      <c r="A13" t="s">
        <v>5</v>
      </c>
      <c r="B13">
        <f>SUMIF(Recipes!$A:$A,A13,Recipes!$D:$D)</f>
        <v>0</v>
      </c>
      <c r="C13">
        <v>10</v>
      </c>
      <c r="D13">
        <f t="shared" si="0"/>
        <v>0</v>
      </c>
    </row>
    <row r="14" spans="1:4" x14ac:dyDescent="0.25">
      <c r="A14" t="s">
        <v>15</v>
      </c>
      <c r="B14">
        <f>SUMIF(Recipes!$A:$A,A14,Recipes!$D:$D)</f>
        <v>0</v>
      </c>
      <c r="C14">
        <v>10</v>
      </c>
      <c r="D14">
        <f t="shared" si="0"/>
        <v>0</v>
      </c>
    </row>
    <row r="15" spans="1:4" x14ac:dyDescent="0.25">
      <c r="A15" t="s">
        <v>19</v>
      </c>
      <c r="B15">
        <f>SUMIF(Recipes!$A:$A,A15,Recipes!$D:$D)</f>
        <v>0</v>
      </c>
      <c r="C15">
        <v>10</v>
      </c>
      <c r="D15">
        <f t="shared" si="0"/>
        <v>0</v>
      </c>
    </row>
    <row r="16" spans="1:4" x14ac:dyDescent="0.25">
      <c r="A16" t="s">
        <v>16</v>
      </c>
      <c r="B16">
        <f>SUMIF(Recipes!$A:$A,A16,Recipes!$D:$D)</f>
        <v>0</v>
      </c>
      <c r="C16">
        <v>10</v>
      </c>
      <c r="D16">
        <f t="shared" si="0"/>
        <v>0</v>
      </c>
    </row>
    <row r="17" spans="1:4" x14ac:dyDescent="0.25">
      <c r="A17" t="s">
        <v>11</v>
      </c>
      <c r="B17">
        <f>SUMIF(Recipes!$A:$A,A17,Recipes!$D:$D)</f>
        <v>0</v>
      </c>
      <c r="C17">
        <v>10</v>
      </c>
      <c r="D17">
        <f t="shared" si="0"/>
        <v>0</v>
      </c>
    </row>
    <row r="18" spans="1:4" x14ac:dyDescent="0.25">
      <c r="A18" t="s">
        <v>9</v>
      </c>
      <c r="B18">
        <f>SUMIF(Recipes!$A:$A,A18,Recipes!$D:$D)</f>
        <v>0</v>
      </c>
      <c r="C18">
        <v>10</v>
      </c>
      <c r="D18">
        <f t="shared" si="0"/>
        <v>0</v>
      </c>
    </row>
    <row r="19" spans="1:4" x14ac:dyDescent="0.25">
      <c r="A19" t="s">
        <v>24</v>
      </c>
      <c r="B19">
        <f>SUMIF(Recipes!$A:$A,A19,Recipes!$D:$D)</f>
        <v>0</v>
      </c>
      <c r="C19">
        <v>10</v>
      </c>
      <c r="D19">
        <f t="shared" si="0"/>
        <v>0</v>
      </c>
    </row>
    <row r="20" spans="1:4" x14ac:dyDescent="0.25">
      <c r="A20" t="s">
        <v>21</v>
      </c>
      <c r="B20">
        <f>SUMIF(Recipes!$A:$A,A20,Recipes!$D:$D)</f>
        <v>0</v>
      </c>
      <c r="C20">
        <v>10</v>
      </c>
      <c r="D20">
        <f t="shared" si="0"/>
        <v>0</v>
      </c>
    </row>
    <row r="21" spans="1:4" x14ac:dyDescent="0.25">
      <c r="A21" t="s">
        <v>6</v>
      </c>
      <c r="B21">
        <f>SUMIF(Recipes!$A:$A,A21,Recipes!$D:$D)</f>
        <v>0</v>
      </c>
      <c r="C21">
        <v>10</v>
      </c>
      <c r="D2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80</v>
      </c>
    </row>
    <row r="2" spans="1:7" x14ac:dyDescent="0.25">
      <c r="A2" t="s">
        <v>5</v>
      </c>
      <c r="B2" t="s">
        <v>81</v>
      </c>
      <c r="C2">
        <v>500</v>
      </c>
      <c r="D2">
        <v>45</v>
      </c>
      <c r="E2">
        <v>55</v>
      </c>
      <c r="F2">
        <v>8</v>
      </c>
      <c r="G2" t="s">
        <v>83</v>
      </c>
    </row>
    <row r="3" spans="1:7" x14ac:dyDescent="0.25">
      <c r="A3" t="s">
        <v>6</v>
      </c>
      <c r="B3" t="s">
        <v>81</v>
      </c>
      <c r="C3">
        <v>520</v>
      </c>
      <c r="D3">
        <v>42</v>
      </c>
      <c r="E3">
        <v>58</v>
      </c>
      <c r="F3">
        <v>9</v>
      </c>
      <c r="G3" t="s">
        <v>84</v>
      </c>
    </row>
    <row r="4" spans="1:7" x14ac:dyDescent="0.25">
      <c r="A4" t="s">
        <v>7</v>
      </c>
      <c r="B4" t="s">
        <v>81</v>
      </c>
      <c r="C4">
        <v>530</v>
      </c>
      <c r="D4">
        <v>40</v>
      </c>
      <c r="E4">
        <v>48</v>
      </c>
      <c r="F4">
        <v>14</v>
      </c>
      <c r="G4" t="s">
        <v>85</v>
      </c>
    </row>
    <row r="5" spans="1:7" x14ac:dyDescent="0.25">
      <c r="A5" t="s">
        <v>8</v>
      </c>
      <c r="B5" t="s">
        <v>81</v>
      </c>
      <c r="C5">
        <v>560</v>
      </c>
      <c r="D5">
        <v>45</v>
      </c>
      <c r="E5">
        <v>45</v>
      </c>
      <c r="F5">
        <v>18</v>
      </c>
      <c r="G5" t="s">
        <v>86</v>
      </c>
    </row>
    <row r="6" spans="1:7" x14ac:dyDescent="0.25">
      <c r="A6" t="s">
        <v>9</v>
      </c>
      <c r="B6" t="s">
        <v>81</v>
      </c>
      <c r="C6">
        <v>520</v>
      </c>
      <c r="D6">
        <v>46</v>
      </c>
      <c r="E6">
        <v>50</v>
      </c>
      <c r="F6">
        <v>10</v>
      </c>
      <c r="G6" t="s">
        <v>87</v>
      </c>
    </row>
    <row r="7" spans="1:7" x14ac:dyDescent="0.25">
      <c r="A7" t="s">
        <v>10</v>
      </c>
      <c r="B7" t="s">
        <v>81</v>
      </c>
      <c r="C7">
        <v>520</v>
      </c>
      <c r="D7">
        <v>44</v>
      </c>
      <c r="E7">
        <v>52</v>
      </c>
      <c r="F7">
        <v>9</v>
      </c>
      <c r="G7" t="s">
        <v>88</v>
      </c>
    </row>
    <row r="8" spans="1:7" x14ac:dyDescent="0.25">
      <c r="A8" t="s">
        <v>11</v>
      </c>
      <c r="B8" t="s">
        <v>82</v>
      </c>
      <c r="C8">
        <v>460</v>
      </c>
      <c r="D8">
        <v>38</v>
      </c>
      <c r="E8">
        <v>42</v>
      </c>
      <c r="F8">
        <v>11</v>
      </c>
      <c r="G8" t="s">
        <v>89</v>
      </c>
    </row>
    <row r="9" spans="1:7" x14ac:dyDescent="0.25">
      <c r="A9" t="s">
        <v>12</v>
      </c>
      <c r="B9" t="s">
        <v>81</v>
      </c>
      <c r="C9">
        <v>520</v>
      </c>
      <c r="D9">
        <v>45</v>
      </c>
      <c r="E9">
        <v>55</v>
      </c>
      <c r="F9">
        <v>12</v>
      </c>
      <c r="G9" t="s">
        <v>90</v>
      </c>
    </row>
    <row r="10" spans="1:7" x14ac:dyDescent="0.25">
      <c r="A10" t="s">
        <v>13</v>
      </c>
      <c r="B10" t="s">
        <v>82</v>
      </c>
      <c r="C10">
        <v>500</v>
      </c>
      <c r="D10">
        <v>38</v>
      </c>
      <c r="E10">
        <v>40</v>
      </c>
      <c r="F10">
        <v>18</v>
      </c>
      <c r="G10" t="s">
        <v>91</v>
      </c>
    </row>
    <row r="11" spans="1:7" x14ac:dyDescent="0.25">
      <c r="A11" t="s">
        <v>14</v>
      </c>
      <c r="B11" t="s">
        <v>81</v>
      </c>
      <c r="C11">
        <v>560</v>
      </c>
      <c r="D11">
        <v>45</v>
      </c>
      <c r="E11">
        <v>45</v>
      </c>
      <c r="F11">
        <v>18</v>
      </c>
      <c r="G11" t="s">
        <v>86</v>
      </c>
    </row>
    <row r="12" spans="1:7" x14ac:dyDescent="0.25">
      <c r="A12" t="s">
        <v>15</v>
      </c>
      <c r="B12" t="s">
        <v>81</v>
      </c>
      <c r="C12">
        <v>490</v>
      </c>
      <c r="D12">
        <v>45</v>
      </c>
      <c r="E12">
        <v>52</v>
      </c>
      <c r="F12">
        <v>7</v>
      </c>
      <c r="G12" t="s">
        <v>92</v>
      </c>
    </row>
    <row r="13" spans="1:7" x14ac:dyDescent="0.25">
      <c r="A13" t="s">
        <v>16</v>
      </c>
      <c r="B13" t="s">
        <v>81</v>
      </c>
      <c r="C13">
        <v>480</v>
      </c>
      <c r="D13">
        <v>40</v>
      </c>
      <c r="E13">
        <v>45</v>
      </c>
      <c r="F13">
        <v>10</v>
      </c>
      <c r="G13" t="s">
        <v>93</v>
      </c>
    </row>
    <row r="14" spans="1:7" x14ac:dyDescent="0.25">
      <c r="A14" t="s">
        <v>17</v>
      </c>
      <c r="B14" t="s">
        <v>81</v>
      </c>
      <c r="C14">
        <v>520</v>
      </c>
      <c r="D14">
        <v>42</v>
      </c>
      <c r="E14">
        <v>55</v>
      </c>
      <c r="F14">
        <v>13</v>
      </c>
      <c r="G14" t="s">
        <v>94</v>
      </c>
    </row>
    <row r="15" spans="1:7" x14ac:dyDescent="0.25">
      <c r="A15" t="s">
        <v>18</v>
      </c>
      <c r="B15" t="s">
        <v>82</v>
      </c>
      <c r="C15">
        <v>480</v>
      </c>
      <c r="D15">
        <v>44</v>
      </c>
      <c r="E15">
        <v>26</v>
      </c>
      <c r="F15">
        <v>16</v>
      </c>
      <c r="G15" t="s">
        <v>95</v>
      </c>
    </row>
    <row r="16" spans="1:7" x14ac:dyDescent="0.25">
      <c r="A16" t="s">
        <v>19</v>
      </c>
      <c r="B16" t="s">
        <v>81</v>
      </c>
      <c r="C16">
        <v>560</v>
      </c>
      <c r="D16">
        <v>45</v>
      </c>
      <c r="E16">
        <v>45</v>
      </c>
      <c r="F16">
        <v>18</v>
      </c>
      <c r="G16" t="s">
        <v>86</v>
      </c>
    </row>
    <row r="17" spans="1:7" x14ac:dyDescent="0.25">
      <c r="A17" t="s">
        <v>20</v>
      </c>
      <c r="B17" t="s">
        <v>81</v>
      </c>
      <c r="C17">
        <v>520</v>
      </c>
      <c r="D17">
        <v>45</v>
      </c>
      <c r="E17">
        <v>55</v>
      </c>
      <c r="F17">
        <v>9</v>
      </c>
      <c r="G17" t="s">
        <v>96</v>
      </c>
    </row>
    <row r="18" spans="1:7" x14ac:dyDescent="0.25">
      <c r="A18" t="s">
        <v>21</v>
      </c>
      <c r="B18" t="s">
        <v>81</v>
      </c>
      <c r="C18">
        <v>520</v>
      </c>
      <c r="D18">
        <v>40</v>
      </c>
      <c r="E18">
        <v>55</v>
      </c>
      <c r="F18">
        <v>11</v>
      </c>
      <c r="G18" t="s">
        <v>97</v>
      </c>
    </row>
    <row r="19" spans="1:7" x14ac:dyDescent="0.25">
      <c r="A19" t="s">
        <v>22</v>
      </c>
      <c r="B19" t="s">
        <v>81</v>
      </c>
      <c r="C19">
        <v>540</v>
      </c>
      <c r="D19">
        <v>40</v>
      </c>
      <c r="E19">
        <v>55</v>
      </c>
      <c r="F19">
        <v>14</v>
      </c>
      <c r="G19" t="s">
        <v>98</v>
      </c>
    </row>
    <row r="20" spans="1:7" x14ac:dyDescent="0.25">
      <c r="A20" t="s">
        <v>23</v>
      </c>
      <c r="B20" t="s">
        <v>81</v>
      </c>
      <c r="C20">
        <v>540</v>
      </c>
      <c r="D20">
        <v>44</v>
      </c>
      <c r="E20">
        <v>55</v>
      </c>
      <c r="F20">
        <v>14</v>
      </c>
      <c r="G20" t="s">
        <v>99</v>
      </c>
    </row>
    <row r="21" spans="1:7" x14ac:dyDescent="0.25">
      <c r="A21" t="s">
        <v>24</v>
      </c>
      <c r="B21" t="s">
        <v>81</v>
      </c>
      <c r="C21">
        <v>560</v>
      </c>
      <c r="D21">
        <v>45</v>
      </c>
      <c r="E21">
        <v>45</v>
      </c>
      <c r="F21">
        <v>18</v>
      </c>
      <c r="G21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77</v>
      </c>
    </row>
    <row r="2" spans="1:2" x14ac:dyDescent="0.25">
      <c r="A2" t="s">
        <v>10</v>
      </c>
      <c r="B2">
        <v>10</v>
      </c>
    </row>
    <row r="3" spans="1:2" x14ac:dyDescent="0.25">
      <c r="A3" t="s">
        <v>22</v>
      </c>
      <c r="B3">
        <v>10</v>
      </c>
    </row>
    <row r="4" spans="1:2" x14ac:dyDescent="0.25">
      <c r="A4" t="s">
        <v>7</v>
      </c>
      <c r="B4">
        <v>10</v>
      </c>
    </row>
    <row r="5" spans="1:2" x14ac:dyDescent="0.25">
      <c r="A5" t="s">
        <v>17</v>
      </c>
      <c r="B5">
        <v>10</v>
      </c>
    </row>
    <row r="6" spans="1:2" x14ac:dyDescent="0.25">
      <c r="A6" t="s">
        <v>13</v>
      </c>
      <c r="B6">
        <v>10</v>
      </c>
    </row>
    <row r="7" spans="1:2" x14ac:dyDescent="0.25">
      <c r="A7" t="s">
        <v>14</v>
      </c>
      <c r="B7">
        <v>10</v>
      </c>
    </row>
    <row r="8" spans="1:2" x14ac:dyDescent="0.25">
      <c r="A8" t="s">
        <v>23</v>
      </c>
      <c r="B8">
        <v>10</v>
      </c>
    </row>
    <row r="9" spans="1:2" x14ac:dyDescent="0.25">
      <c r="A9" t="s">
        <v>20</v>
      </c>
      <c r="B9">
        <v>10</v>
      </c>
    </row>
    <row r="10" spans="1:2" x14ac:dyDescent="0.25">
      <c r="A10" t="s">
        <v>18</v>
      </c>
      <c r="B10">
        <v>10</v>
      </c>
    </row>
    <row r="11" spans="1:2" x14ac:dyDescent="0.25">
      <c r="A11" t="s">
        <v>8</v>
      </c>
      <c r="B11">
        <v>10</v>
      </c>
    </row>
    <row r="12" spans="1:2" x14ac:dyDescent="0.25">
      <c r="A12" t="s">
        <v>12</v>
      </c>
      <c r="B12">
        <v>10</v>
      </c>
    </row>
    <row r="13" spans="1:2" x14ac:dyDescent="0.25">
      <c r="A13" t="s">
        <v>5</v>
      </c>
      <c r="B13">
        <v>10</v>
      </c>
    </row>
    <row r="14" spans="1:2" x14ac:dyDescent="0.25">
      <c r="A14" t="s">
        <v>15</v>
      </c>
      <c r="B14">
        <v>10</v>
      </c>
    </row>
    <row r="15" spans="1:2" x14ac:dyDescent="0.25">
      <c r="A15" t="s">
        <v>19</v>
      </c>
      <c r="B15">
        <v>10</v>
      </c>
    </row>
    <row r="16" spans="1:2" x14ac:dyDescent="0.25">
      <c r="A16" t="s">
        <v>16</v>
      </c>
      <c r="B16">
        <v>10</v>
      </c>
    </row>
    <row r="17" spans="1:2" x14ac:dyDescent="0.25">
      <c r="A17" t="s">
        <v>11</v>
      </c>
      <c r="B17">
        <v>10</v>
      </c>
    </row>
    <row r="18" spans="1:2" x14ac:dyDescent="0.25">
      <c r="A18" t="s">
        <v>9</v>
      </c>
      <c r="B18">
        <v>10</v>
      </c>
    </row>
    <row r="19" spans="1:2" x14ac:dyDescent="0.25">
      <c r="A19" t="s">
        <v>24</v>
      </c>
      <c r="B19">
        <v>10</v>
      </c>
    </row>
    <row r="20" spans="1:2" x14ac:dyDescent="0.25">
      <c r="A20" t="s">
        <v>21</v>
      </c>
      <c r="B20">
        <v>10</v>
      </c>
    </row>
    <row r="21" spans="1:2" x14ac:dyDescent="0.25">
      <c r="A21" t="s">
        <v>6</v>
      </c>
      <c r="B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Nutrition_Summary</vt:lpstr>
      <vt:lpstr>Recipes</vt:lpstr>
      <vt:lpstr>Ingredient_Costs</vt:lpstr>
      <vt:lpstr>Meal_Cost_Summary</vt:lpstr>
      <vt:lpstr>Label_Text</vt:lpstr>
      <vt:lpstr>Weekly_Production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Dowd</cp:lastModifiedBy>
  <dcterms:created xsi:type="dcterms:W3CDTF">2025-12-12T01:43:50Z</dcterms:created>
  <dcterms:modified xsi:type="dcterms:W3CDTF">2025-12-17T20:56:17Z</dcterms:modified>
</cp:coreProperties>
</file>